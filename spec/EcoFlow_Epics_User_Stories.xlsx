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sentation" sheetId="1" state="visible" r:id="rId3"/>
    <sheet name="Epics" sheetId="2" state="visible" r:id="rId4"/>
    <sheet name="User Stories" sheetId="3" state="visible" r:id="rId5"/>
    <sheet name="Synthèse" sheetId="4" state="visible" r:id="rId6"/>
  </sheets>
  <definedNames>
    <definedName function="false" hidden="true" localSheetId="2" name="_xlnm._FilterDatabase" vbProcedure="false">'User Stories'!$A$1:$K$133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<sst xmlns="http://schemas.openxmlformats.org/spreadsheetml/2006/main" count="1385" uniqueCount="530">
  <si>
    <t xml:space="preserve">EcoFlow – Cahier des spécifications : Epics &amp; User Stories</t>
  </si>
  <si>
    <t xml:space="preserve">Projet</t>
  </si>
  <si>
    <t xml:space="preserve">EcoFlow – application Flutter qui relie citoyens, collecteurs et entreprises de recyclage.</t>
  </si>
  <si>
    <t xml:space="preserve">Objectif</t>
  </si>
  <si>
    <t xml:space="preserve">Permettre à un citoyen de scanner ses déchets (IA), d'en estimer la valeur, de demander une collecte, puis d'alimenter une chaîne circulaire : collecteur → centre de tri → recycleur → entreprise.</t>
  </si>
  <si>
    <t xml:space="preserve">Espaces (4 interfaces)</t>
  </si>
  <si>
    <t xml:space="preserve">Citoyen · Collecteur · Recycleur / Entreprise · Administrateur</t>
  </si>
  <si>
    <t xml:space="preserve">Modules IA (4)</t>
  </si>
  <si>
    <t xml:space="preserve">1) Vision IA (YOLOv8/YOLO11)  2) Estimation intelligente  3) Prédiction des volumes  4) Optimisation d'itinéraires</t>
  </si>
  <si>
    <t xml:space="preserve">Fonctions clés</t>
  </si>
  <si>
    <t xml:space="preserve">Recycle Wallet (EcoPoints, récompenses partenaires) · Marketplace circulaire B2B · Suivi temps réel · Supervision admin (tonnes, CO₂ évité)</t>
  </si>
  <si>
    <t xml:space="preserve">Feuilles du classeur</t>
  </si>
  <si>
    <t xml:space="preserve">Epics : liste des 14 epics avec compteurs automatiques · User Stories : backlog détaillé filtrable · Synthèse : répartitions par acteur, priorité, release et module IA</t>
  </si>
  <si>
    <t xml:space="preserve">LÉGENDE</t>
  </si>
  <si>
    <t xml:space="preserve">Priorité (MoSCoW)</t>
  </si>
  <si>
    <t xml:space="preserve">Must = indispensable · Should = important · Could = souhaitable</t>
  </si>
  <si>
    <t xml:space="preserve">Points</t>
  </si>
  <si>
    <t xml:space="preserve">Estimation de complexité (suite de Fibonacci : 1, 2, 3, 5, 8, 13) – à ajuster avec l'équipe.</t>
  </si>
  <si>
    <t xml:space="preserve">Release</t>
  </si>
  <si>
    <t xml:space="preserve">MVP = première version fonctionnelle · V1 = consolidation · V2 = extension (prédiction, marketplace, etc.)</t>
  </si>
  <si>
    <t xml:space="preserve">Statut</t>
  </si>
  <si>
    <t xml:space="preserve">À faire · En cours · En revue · Terminé (liste déroulante dans la feuille User Stories)</t>
  </si>
  <si>
    <t xml:space="preserve">Cellules à modifier</t>
  </si>
  <si>
    <t xml:space="preserve">Colonnes Priorité, Points, Release et Statut de la feuille User Stories. Les compteurs des feuilles Epics et Synthèse se recalculent automatiquement.</t>
  </si>
  <si>
    <t xml:space="preserve">Hypothèses</t>
  </si>
  <si>
    <t xml:space="preserve">Priorités, points et releases sont des propositions initiales, non validées par un Product Owner. Les critères d'acceptation sont concis et à détailler en sprint planning.</t>
  </si>
  <si>
    <t xml:space="preserve">ID Epic</t>
  </si>
  <si>
    <t xml:space="preserve">Epic</t>
  </si>
  <si>
    <t xml:space="preserve">Description</t>
  </si>
  <si>
    <t xml:space="preserve">Acteurs concernés</t>
  </si>
  <si>
    <t xml:space="preserve">Priorité</t>
  </si>
  <si>
    <t xml:space="preserve">Release cible</t>
  </si>
  <si>
    <t xml:space="preserve">Valeur métier</t>
  </si>
  <si>
    <t xml:space="preserve">Nb user stories</t>
  </si>
  <si>
    <t xml:space="preserve">Total points</t>
  </si>
  <si>
    <t xml:space="preserve">E01</t>
  </si>
  <si>
    <t xml:space="preserve">Authentification &amp; profils</t>
  </si>
  <si>
    <t xml:space="preserve">Inscription, connexion, gestion des rôles (citoyen, collecteur, recycleur, admin), vérification des professionnels et profils.</t>
  </si>
  <si>
    <t xml:space="preserve">Tous</t>
  </si>
  <si>
    <t xml:space="preserve">Must</t>
  </si>
  <si>
    <t xml:space="preserve">MVP</t>
  </si>
  <si>
    <t xml:space="preserve">Accéder à la plateforme de façon sécurisée avec le bon rôle.</t>
  </si>
  <si>
    <t xml:space="preserve">E02</t>
  </si>
  <si>
    <t xml:space="preserve">Vision IA – scan des déchets</t>
  </si>
  <si>
    <t xml:space="preserve">Détection et classification des déchets par photo avec YOLOv8/YOLO11 : comptage, type de matière, recyclabilité.</t>
  </si>
  <si>
    <t xml:space="preserve">Citoyen, Administrateur</t>
  </si>
  <si>
    <t xml:space="preserve">Cœur différenciant : transformer une photo en données exploitables.</t>
  </si>
  <si>
    <t xml:space="preserve">E03</t>
  </si>
  <si>
    <t xml:space="preserve">Estimation intelligente quantité &amp; valeur</t>
  </si>
  <si>
    <t xml:space="preserve">Estimation du poids et de la valeur en DT, indice de confiance, confirmation humaine et calibrage par la pesée réelle.</t>
  </si>
  <si>
    <t xml:space="preserve">Citoyen, Collecteur, Administrateur</t>
  </si>
  <si>
    <t xml:space="preserve">Donner une valeur concrète et transparente avant la collecte.</t>
  </si>
  <si>
    <t xml:space="preserve">E04</t>
  </si>
  <si>
    <t xml:space="preserve">Demande de collecte</t>
  </si>
  <si>
    <t xml:space="preserve">Création, modification, annulation d'une demande avec lieu et plage horaire ; matching avec un collecteur proche.</t>
  </si>
  <si>
    <t xml:space="preserve">Citoyen, Système</t>
  </si>
  <si>
    <t xml:space="preserve">Faire le lien entre citoyens et collecteurs.</t>
  </si>
  <si>
    <t xml:space="preserve">E05</t>
  </si>
  <si>
    <t xml:space="preserve">Espace collecteur &amp; missions</t>
  </si>
  <si>
    <t xml:space="preserve">Disponibilité, missions, navigation, pesée, validation, historique, revenus et dépôt au centre de tri.</t>
  </si>
  <si>
    <t xml:space="preserve">Collecteur</t>
  </si>
  <si>
    <t xml:space="preserve">Permettre aux collecteurs de travailler efficacement et d'être rémunérés.</t>
  </si>
  <si>
    <t xml:space="preserve">E06</t>
  </si>
  <si>
    <t xml:space="preserve">Optimisation IA des itinéraires</t>
  </si>
  <si>
    <t xml:space="preserve">Tournées multi-collectes optimisées (km, temps, carburant) sous contraintes de capacité et de créneaux.</t>
  </si>
  <si>
    <t xml:space="preserve">Collecteur, Administrateur, Système</t>
  </si>
  <si>
    <t xml:space="preserve">Should</t>
  </si>
  <si>
    <t xml:space="preserve">V1</t>
  </si>
  <si>
    <t xml:space="preserve">Réduire coûts, temps et émissions.</t>
  </si>
  <si>
    <t xml:space="preserve">E07</t>
  </si>
  <si>
    <t xml:space="preserve">Suivi temps réel &amp; notifications</t>
  </si>
  <si>
    <t xml:space="preserve">Suivi du collecteur sur carte, ETA, notifications push/SMS, messagerie/appel masqué.</t>
  </si>
  <si>
    <t xml:space="preserve">Citoyen, Collecteur</t>
  </si>
  <si>
    <t xml:space="preserve">Transparence et confiance pendant la collecte.</t>
  </si>
  <si>
    <t xml:space="preserve">E08</t>
  </si>
  <si>
    <t xml:space="preserve">Recycle Wallet &amp; EcoPoints</t>
  </si>
  <si>
    <t xml:space="preserve">Portefeuille de points, règles d'attribution, catalogue de récompenses partenaires, anti-fraude, gamification.</t>
  </si>
  <si>
    <t xml:space="preserve">Motiver les citoyens à recycler durablement.</t>
  </si>
  <si>
    <t xml:space="preserve">E09</t>
  </si>
  <si>
    <t xml:space="preserve">Espace recycleur – dashboard &amp; stocks</t>
  </si>
  <si>
    <t xml:space="preserve">Réception des lots, traçabilité, stocks par matière (PET, HDPE, PP, autres), rapports et export.</t>
  </si>
  <si>
    <t xml:space="preserve">Recycleur / Entreprise</t>
  </si>
  <si>
    <t xml:space="preserve">Piloter les volumes reçus et les stocks.</t>
  </si>
  <si>
    <t xml:space="preserve">E10</t>
  </si>
  <si>
    <t xml:space="preserve">Prédiction IA des volumes</t>
  </si>
  <si>
    <t xml:space="preserve">Prévision des volumes de plastique par zone, cartes de chaleur, alertes et suivi de précision du modèle.</t>
  </si>
  <si>
    <t xml:space="preserve">Recycleur, Administrateur</t>
  </si>
  <si>
    <t xml:space="preserve">V2</t>
  </si>
  <si>
    <t xml:space="preserve">Anticiper l'approvisionnement et planifier les ressources.</t>
  </si>
  <si>
    <t xml:space="preserve">E11</t>
  </si>
  <si>
    <t xml:space="preserve">Marketplace circulaire B2B</t>
  </si>
  <si>
    <t xml:space="preserve">Demandes d'achat et offres de vente de matières recyclées, recherche, négociation, commandes et notation.</t>
  </si>
  <si>
    <t xml:space="preserve">Recycleur / Entreprise, Administrateur</t>
  </si>
  <si>
    <t xml:space="preserve">Boucler l'économie circulaire jusqu'à l'entreprise.</t>
  </si>
  <si>
    <t xml:space="preserve">E12</t>
  </si>
  <si>
    <t xml:space="preserve">Administration &amp; supervision</t>
  </si>
  <si>
    <t xml:space="preserve">Gestion des utilisateurs, validations, carte des collectes, statistiques, CO₂ évité, litiges et journal d'audit.</t>
  </si>
  <si>
    <t xml:space="preserve">Administrateur</t>
  </si>
  <si>
    <t xml:space="preserve">Superviser et piloter toute la plateforme.</t>
  </si>
  <si>
    <t xml:space="preserve">E13</t>
  </si>
  <si>
    <t xml:space="preserve">Statistiques &amp; impact citoyen</t>
  </si>
  <si>
    <t xml:space="preserve">Tableau de bord personnel, CO₂ évité, conseils de tri, défis et partage.</t>
  </si>
  <si>
    <t xml:space="preserve">Citoyen</t>
  </si>
  <si>
    <t xml:space="preserve">Rendre l'impact visible et éduquer.</t>
  </si>
  <si>
    <t xml:space="preserve">E14</t>
  </si>
  <si>
    <t xml:space="preserve">Exigences transverses &amp; qualité</t>
  </si>
  <si>
    <t xml:space="preserve">Sécurité, performance, disponibilité, hors-ligne, conformité données, accessibilité, CI/CD, monitoring.</t>
  </si>
  <si>
    <t xml:space="preserve">Système</t>
  </si>
  <si>
    <t xml:space="preserve">Garantir robustesse, sécurité et conformité.</t>
  </si>
  <si>
    <t xml:space="preserve">TOTAL</t>
  </si>
  <si>
    <t xml:space="preserve">ID</t>
  </si>
  <si>
    <t xml:space="preserve">Acteur</t>
  </si>
  <si>
    <t xml:space="preserve">User story</t>
  </si>
  <si>
    <t xml:space="preserve">Critères d'acceptation</t>
  </si>
  <si>
    <t xml:space="preserve">Module IA</t>
  </si>
  <si>
    <t xml:space="preserve">US-001</t>
  </si>
  <si>
    <t xml:space="preserve">Utilisateur</t>
  </si>
  <si>
    <t xml:space="preserve">En tant qu'utilisateur, je veux m'inscrire avec mon numéro de téléphone (code OTP par SMS) ou mon e-mail afin de créer un compte rapidement.</t>
  </si>
  <si>
    <t xml:space="preserve">Le code OTP est valide 5 min ; compte créé après vérification ; erreurs claires si numéro invalide.</t>
  </si>
  <si>
    <t xml:space="preserve">—</t>
  </si>
  <si>
    <t xml:space="preserve">À faire</t>
  </si>
  <si>
    <t xml:space="preserve">US-002</t>
  </si>
  <si>
    <t xml:space="preserve">En tant qu'utilisateur, je veux me connecter avec e-mail/mot de passe ou compte Google afin de accéder à mon espace sans friction.</t>
  </si>
  <si>
    <t xml:space="preserve">Session persistante via JWT + refresh token ; déconnexion possible ; verrouillage après 5 échecs.</t>
  </si>
  <si>
    <t xml:space="preserve">US-003</t>
  </si>
  <si>
    <t xml:space="preserve">En tant qu'utilisateur, je veux choisir mon rôle (citoyen, collecteur, recycleur) à l'inscription afin de accéder à l'interface adaptée.</t>
  </si>
  <si>
    <t xml:space="preserve">Le rôle détermine la navigation Flutter ; un rôle admin ne peut pas être choisi.</t>
  </si>
  <si>
    <t xml:space="preserve">US-004</t>
  </si>
  <si>
    <t xml:space="preserve">En tant qu'utilisateur, je veux réinitialiser mon mot de passe afin de récupérer l'accès à mon compte.</t>
  </si>
  <si>
    <t xml:space="preserve">Lien/code envoyé ; expire après 15 min ; ancien mot de passe invalidé.</t>
  </si>
  <si>
    <t xml:space="preserve">US-005</t>
  </si>
  <si>
    <t xml:space="preserve">En tant que citoyen, je veux gérer mon profil et mes adresses enregistrées afin de pré-remplir mes demandes de collecte.</t>
  </si>
  <si>
    <t xml:space="preserve">Ajout/modification/suppression d'adresses avec position GPS ; adresse par défaut.</t>
  </si>
  <si>
    <t xml:space="preserve">US-006</t>
  </si>
  <si>
    <t xml:space="preserve">En tant que collecteur, je veux soumettre mes documents (CIN, permis, carte grise, photo véhicule) afin de être vérifié et autorisé à collecter.</t>
  </si>
  <si>
    <t xml:space="preserve">Upload de fichiers ; statut « en attente / validé / refusé » visible ; motif de refus affiché.</t>
  </si>
  <si>
    <t xml:space="preserve">US-007</t>
  </si>
  <si>
    <t xml:space="preserve">En tant que recycleur / entreprise, je veux créer le profil de mon entreprise (raison sociale, matricule fiscal, matières traitées, capacités) afin de être référencé comme recycleur fiable.</t>
  </si>
  <si>
    <t xml:space="preserve">Champs obligatoires validés ; profil soumis à validation admin.</t>
  </si>
  <si>
    <t xml:space="preserve">US-008</t>
  </si>
  <si>
    <t xml:space="preserve">En tant qu'utilisateur, je veux choisir la langue de l'application (français, arabe, anglais) afin de utiliser l'application dans ma langue.</t>
  </si>
  <si>
    <t xml:space="preserve">Changement à chaud ; support RTL pour l'arabe.</t>
  </si>
  <si>
    <t xml:space="preserve">US-009</t>
  </si>
  <si>
    <t xml:space="preserve">En tant qu'utilisateur, je veux gérer mes préférences de notifications afin de ne recevoir que les alertes utiles.</t>
  </si>
  <si>
    <t xml:space="preserve">Activation/désactivation par catégorie (statut collecte, points, marketplace).</t>
  </si>
  <si>
    <t xml:space="preserve">Could</t>
  </si>
  <si>
    <t xml:space="preserve">US-010</t>
  </si>
  <si>
    <t xml:space="preserve">En tant qu'utilisateur, je veux supprimer mon compte et mes données personnelles afin de garder le contrôle de mes données.</t>
  </si>
  <si>
    <t xml:space="preserve">Confirmation en 2 étapes ; données anonymisées sous 30 jours ; historique financier conservé légalement.</t>
  </si>
  <si>
    <t xml:space="preserve">US-011</t>
  </si>
  <si>
    <t xml:space="preserve">En tant que citoyen, je veux prendre en photo mes déchets avec la caméra de l'application afin de lancer une analyse automatique.</t>
  </si>
  <si>
    <t xml:space="preserve">Permission caméra demandée ; aperçu avant envoi ; résultat en moins de 5 s en 4G.</t>
  </si>
  <si>
    <t xml:space="preserve">Vision IA</t>
  </si>
  <si>
    <t xml:space="preserve">US-012</t>
  </si>
  <si>
    <t xml:space="preserve">En tant que citoyen, je veux importer une ou plusieurs photos depuis ma galerie afin de analyser des photos déjà prises.</t>
  </si>
  <si>
    <t xml:space="preserve">Sélection multiple (max 5) ; formats JPG/PNG ; compression avant envoi.</t>
  </si>
  <si>
    <t xml:space="preserve">US-013</t>
  </si>
  <si>
    <t xml:space="preserve">En tant que citoyen, je veux voir les déchets détectés avec des cadres (bounding boxes) sur la photo afin de comprendre ce que l'IA a reconnu.</t>
  </si>
  <si>
    <t xml:space="preserve">Chaque objet est encadré avec libellé et score ; seuil de confiance configurable.</t>
  </si>
  <si>
    <t xml:space="preserve">US-014</t>
  </si>
  <si>
    <t xml:space="preserve">En tant que citoyen, je veux obtenir le nombre d'objets par catégorie (bouteilles PET, canettes, carton, verre, autres) afin de connaître précisément ce que je recycle.</t>
  </si>
  <si>
    <t xml:space="preserve">Récapitulatif chiffré par catégorie ; total d'objets affiché.</t>
  </si>
  <si>
    <t xml:space="preserve">US-015</t>
  </si>
  <si>
    <t xml:space="preserve">En tant que citoyen, je veux voir la recyclabilité estimée de mes déchets (faible/moyenne/élevée) afin de savoir si mes déchets sont valorisables.</t>
  </si>
  <si>
    <t xml:space="preserve">Indicateur calculé à partir des classes détectées ; explication courte affichée.</t>
  </si>
  <si>
    <t xml:space="preserve">US-016</t>
  </si>
  <si>
    <t xml:space="preserve">En tant que citoyen, je veux corriger manuellement le résultat de l'IA (ajouter, supprimer, changer une catégorie) afin de obtenir un résultat fiable.</t>
  </si>
  <si>
    <t xml:space="preserve">Modification enregistrée ; correction stockée pour améliorer le modèle.</t>
  </si>
  <si>
    <t xml:space="preserve">US-017</t>
  </si>
  <si>
    <t xml:space="preserve">En tant que citoyen, je veux être alerté si ma photo est floue, sombre ou mal cadrée afin de améliorer la qualité de la détection.</t>
  </si>
  <si>
    <t xml:space="preserve">Message avec conseil ; possibilité de reprendre la photo.</t>
  </si>
  <si>
    <t xml:space="preserve">US-018</t>
  </si>
  <si>
    <t xml:space="preserve">En tant que citoyen, je veux analyser mes déchets sans connexion stable (modèle embarqué TFLite) afin de scanner même avec un réseau faible.</t>
  </si>
  <si>
    <t xml:space="preserve">Modèle allégé sur l'appareil ; synchronisation ultérieure du résultat.</t>
  </si>
  <si>
    <t xml:space="preserve">US-019</t>
  </si>
  <si>
    <t xml:space="preserve">En tant que administrateur, je veux gérer les versions du modèle YOLO déployé et consulter ses métriques (précision, rappel, mAP) afin de piloter la qualité de l'IA.</t>
  </si>
  <si>
    <t xml:space="preserve">Historique des versions ; possibilité de revenir à une version précédente.</t>
  </si>
  <si>
    <t xml:space="preserve">US-020</t>
  </si>
  <si>
    <t xml:space="preserve">En tant que administrateur, je veux exporter les corrections des utilisateurs sous forme de jeu de données annoté afin de réentraîner et améliorer le modèle.</t>
  </si>
  <si>
    <t xml:space="preserve">Export au format YOLO ; images anonymisées ; consentement respecté.</t>
  </si>
  <si>
    <t xml:space="preserve">US-021</t>
  </si>
  <si>
    <t xml:space="preserve">En tant que système, je dois anonymiser et stocker les photos envoyées de façon sécurisée afin de respecter la vie privée des utilisateurs.</t>
  </si>
  <si>
    <t xml:space="preserve">Suppression des métadonnées EXIF/GPS ; stockage chiffré ; durée de rétention définie.</t>
  </si>
  <si>
    <t xml:space="preserve">US-022</t>
  </si>
  <si>
    <t xml:space="preserve">En tant que administrateur, je veux définir le catalogue des classes de déchets (PET, HDPE, PP, canette alu, carton, verre…) afin de aligner la détection avec les matières recyclables.</t>
  </si>
  <si>
    <t xml:space="preserve">CRUD des catégories ; lien avec le barème de prix.</t>
  </si>
  <si>
    <t xml:space="preserve">US-023</t>
  </si>
  <si>
    <t xml:space="preserve">En tant que citoyen, je veux obtenir une estimation du poids par matière (en kg) afin de connaître ma quantité de déchets.</t>
  </si>
  <si>
    <t xml:space="preserve">Poids estimé par catégorie ; total affiché ; unité claire.</t>
  </si>
  <si>
    <t xml:space="preserve">Estimation</t>
  </si>
  <si>
    <t xml:space="preserve">US-024</t>
  </si>
  <si>
    <t xml:space="preserve">En tant que citoyen, je veux voir la valeur estimée de mes déchets en DT afin de savoir ce que je vais gagner.</t>
  </si>
  <si>
    <t xml:space="preserve">Valeur calculée selon barème en vigueur ; mention « estimation ».</t>
  </si>
  <si>
    <t xml:space="preserve">US-025</t>
  </si>
  <si>
    <t xml:space="preserve">En tant que citoyen, je veux voir un indice de confiance et être invité à confirmer quand la photo ne suffit pas afin de comprendre la fiabilité de l'estimation.</t>
  </si>
  <si>
    <t xml:space="preserve">Si confiance &lt; seuil, demande de confirmation ou de saisie manuelle.</t>
  </si>
  <si>
    <t xml:space="preserve">US-026</t>
  </si>
  <si>
    <t xml:space="preserve">En tant que citoyen, je veux préciser le contenant (sac 50 L, carton, caisse) ou saisir un poids manuel afin de affiner l'estimation.</t>
  </si>
  <si>
    <t xml:space="preserve">Liste de contenants standard ; recalcul instantané.</t>
  </si>
  <si>
    <t xml:space="preserve">US-027</t>
  </si>
  <si>
    <t xml:space="preserve">En tant que administrateur, je veux configurer le barème des prix par matière (DT/kg) avec dates d'effet afin de refléter les prix du marché.</t>
  </si>
  <si>
    <t xml:space="preserve">Historique des barèmes ; application au moment de la demande.</t>
  </si>
  <si>
    <t xml:space="preserve">US-028</t>
  </si>
  <si>
    <t xml:space="preserve">En tant que collecteur, je veux saisir le poids réel après pesée et ajuster la valeur finale afin de confirmer le prix réel de la collecte.</t>
  </si>
  <si>
    <t xml:space="preserve">Poids réel obligatoire ; recalcul de la valeur ; écart visible.</t>
  </si>
  <si>
    <t xml:space="preserve">US-029</t>
  </si>
  <si>
    <t xml:space="preserve">En tant que citoyen, je veux voir l'écart entre l'estimation et la pesée réelle afin de comprendre le prix final.</t>
  </si>
  <si>
    <t xml:space="preserve">Comparatif estimé/réel par matière ; notification du montant final.</t>
  </si>
  <si>
    <t xml:space="preserve">US-030</t>
  </si>
  <si>
    <t xml:space="preserve">En tant que système, je dois comparer estimations et pesées réelles pour recalibrer les coefficients de poids afin de améliorer la précision au fil du temps.</t>
  </si>
  <si>
    <t xml:space="preserve">Job périodique ; tableau de bord d'erreur (MAE) par matière.</t>
  </si>
  <si>
    <t xml:space="preserve">US-031</t>
  </si>
  <si>
    <t xml:space="preserve">En tant que citoyen, je veux choisir l'emplacement de la collecte (GPS, carte ou adresse enregistrée) afin de être collecté là où je me trouve.</t>
  </si>
  <si>
    <t xml:space="preserve">Épingle déplaçable ; adresse inversée affichée ; zone desservie vérifiée.</t>
  </si>
  <si>
    <t xml:space="preserve">US-032</t>
  </si>
  <si>
    <t xml:space="preserve">En tant que citoyen, je veux sélectionner une plage horaire de collecte afin de planifier selon ma disponibilité.</t>
  </si>
  <si>
    <t xml:space="preserve">Créneaux proposés sur 7 jours ; créneaux complets grisés.</t>
  </si>
  <si>
    <t xml:space="preserve">US-033</t>
  </si>
  <si>
    <t xml:space="preserve">En tant que citoyen, je veux ajouter des instructions (étage, code d'accès, point de repère) afin de faciliter le travail du collecteur.</t>
  </si>
  <si>
    <t xml:space="preserve">Champ texte 300 caractères + photo optionnelle ; visible du collecteur.</t>
  </si>
  <si>
    <t xml:space="preserve">US-034</t>
  </si>
  <si>
    <t xml:space="preserve">En tant que système, je dois rechercher automatiquement un collecteur disponible à proximité afin de assigner rapidement la collecte.</t>
  </si>
  <si>
    <t xml:space="preserve">Rayon initial 5 km élargi progressivement ; critères : distance, capacité, note.</t>
  </si>
  <si>
    <t xml:space="preserve">Optimisation</t>
  </si>
  <si>
    <t xml:space="preserve">US-035</t>
  </si>
  <si>
    <t xml:space="preserve">En tant que citoyen, je veux modifier ou annuler ma demande avant l'arrivée du collecteur afin de garder la flexibilité.</t>
  </si>
  <si>
    <t xml:space="preserve">Modification possible jusqu'à 1 h avant ; collecteur notifié ; pas de pénalité avant acceptation.</t>
  </si>
  <si>
    <t xml:space="preserve">US-036</t>
  </si>
  <si>
    <t xml:space="preserve">En tant que citoyen, je veux être informé si aucun collecteur n'est disponible et recevoir des alternatives (autre créneau, point de dépôt) afin de ne pas rester bloqué.</t>
  </si>
  <si>
    <t xml:space="preserve">Suggestions de créneaux ; file d'attente possible.</t>
  </si>
  <si>
    <t xml:space="preserve">US-037</t>
  </si>
  <si>
    <t xml:space="preserve">En tant que citoyen, je veux planifier une collecte récurrente (hebdomadaire/mensuelle) afin de automatiser mon recyclage.</t>
  </si>
  <si>
    <t xml:space="preserve">Récurrence configurable ; annulable à tout moment.</t>
  </si>
  <si>
    <t xml:space="preserve">US-038</t>
  </si>
  <si>
    <t xml:space="preserve">En tant que citoyen, je veux consulter l'historique de mes demandes et leur statut afin de suivre mes collectes passées.</t>
  </si>
  <si>
    <t xml:space="preserve">Liste filtrable par statut/date ; détail de chaque collecte.</t>
  </si>
  <si>
    <t xml:space="preserve">US-039</t>
  </si>
  <si>
    <t xml:space="preserve">En tant que citoyen, je veux remettre mes déchets en validant un code ou QR avec le collecteur afin de sécuriser la remise et le crédit de points.</t>
  </si>
  <si>
    <t xml:space="preserve">Code à usage unique ; validation croisée des deux parties.</t>
  </si>
  <si>
    <t xml:space="preserve">US-040</t>
  </si>
  <si>
    <t xml:space="preserve">En tant que citoyen, je veux noter et commenter le collecteur après la collecte afin de améliorer la qualité du service.</t>
  </si>
  <si>
    <t xml:space="preserve">Note 1-5 + commentaire ; une seule note par collecte.</t>
  </si>
  <si>
    <t xml:space="preserve">US-041</t>
  </si>
  <si>
    <t xml:space="preserve">En tant que citoyen, je veux signaler un problème (collecteur absent, poids contesté, comportement) afin de obtenir une résolution.</t>
  </si>
  <si>
    <t xml:space="preserve">Formulaire avec motif et photos ; ticket créé pour l'admin.</t>
  </si>
  <si>
    <t xml:space="preserve">US-042</t>
  </si>
  <si>
    <t xml:space="preserve">En tant que collecteur, je veux passer en ligne/hors ligne et définir ma zone de travail afin de recevoir des missions uniquement quand je suis disponible.</t>
  </si>
  <si>
    <t xml:space="preserve">Bascule instantanée ; zone dessinée ou rayon ; position partagée seulement en ligne.</t>
  </si>
  <si>
    <t xml:space="preserve">US-043</t>
  </si>
  <si>
    <t xml:space="preserve">En tant que collecteur, je veux consulter les missions disponibles autour de moi (liste et carte) afin de choisir les collectes intéressantes.</t>
  </si>
  <si>
    <t xml:space="preserve">Tri par distance/valeur ; filtres par matière et quantité.</t>
  </si>
  <si>
    <t xml:space="preserve">US-044</t>
  </si>
  <si>
    <t xml:space="preserve">En tant que collecteur, je veux accepter ou refuser une mission afin de gérer ma charge de travail.</t>
  </si>
  <si>
    <t xml:space="preserve">Mission verrouillée à la première acceptation ; délai de réponse 60 s.</t>
  </si>
  <si>
    <t xml:space="preserve">US-045</t>
  </si>
  <si>
    <t xml:space="preserve">En tant que collecteur, je veux voir le détail de la mission (localisation, type de déchets, quantité estimée, valeur estimée) afin de préparer ma collecte.</t>
  </si>
  <si>
    <t xml:space="preserve">Toutes les informations de l'IA visibles ; photos consultables.</t>
  </si>
  <si>
    <t xml:space="preserve">US-046</t>
  </si>
  <si>
    <t xml:space="preserve">En tant que collecteur, je veux lancer la navigation GPS vers le point de collecte afin de arriver rapidement.</t>
  </si>
  <si>
    <t xml:space="preserve">Ouverture de l'itinéraire dans la carte intégrée ou Google Maps/Waze.</t>
  </si>
  <si>
    <t xml:space="preserve">US-047</t>
  </si>
  <si>
    <t xml:space="preserve">En tant que collecteur, je veux signaler mon arrivée et démarrer la collecte afin de informer le citoyen.</t>
  </si>
  <si>
    <t xml:space="preserve">Statuts « en route / arrivé / en cours » horodatés.</t>
  </si>
  <si>
    <t xml:space="preserve">US-048</t>
  </si>
  <si>
    <t xml:space="preserve">En tant que collecteur, je veux prendre une photo preuve de la collecte afin de limiter les litiges.</t>
  </si>
  <si>
    <t xml:space="preserve">Photo obligatoire avant clôture ; stockée liée à la mission.</t>
  </si>
  <si>
    <t xml:space="preserve">US-049</t>
  </si>
  <si>
    <t xml:space="preserve">En tant que collecteur, je veux connecter une balance Bluetooth pour enregistrer le poids automatiquement afin de éviter les erreurs de saisie.</t>
  </si>
  <si>
    <t xml:space="preserve">Appairage et lecture du poids ; saisie manuelle en secours.</t>
  </si>
  <si>
    <t xml:space="preserve">US-050</t>
  </si>
  <si>
    <t xml:space="preserve">En tant que collecteur, je veux clôturer la mission après validation du citoyen afin de déclencher crédit des points et revenus.</t>
  </si>
  <si>
    <t xml:space="preserve">Récapitulatif signé (code/QR) ; statut « terminée ».</t>
  </si>
  <si>
    <t xml:space="preserve">US-051</t>
  </si>
  <si>
    <t xml:space="preserve">En tant que collecteur, je veux consulter l'historique de mes missions et mes revenus afin de suivre mon activité.</t>
  </si>
  <si>
    <t xml:space="preserve">Filtres jour/semaine/mois ; total des gains et kg collectés.</t>
  </si>
  <si>
    <t xml:space="preserve">US-052</t>
  </si>
  <si>
    <t xml:space="preserve">En tant que collecteur, je veux demander le retrait de mes revenus afin de être payé pour mon travail.</t>
  </si>
  <si>
    <t xml:space="preserve">Demande avec solde minimum ; suivi du statut du paiement.</t>
  </si>
  <si>
    <t xml:space="preserve">US-053</t>
  </si>
  <si>
    <t xml:space="preserve">En tant que collecteur, je veux signaler un citoyen absent ou une adresse introuvable afin de clore une mission impossible.</t>
  </si>
  <si>
    <t xml:space="preserve">Motif + preuve ; mission annulée sans pénalité si valide.</t>
  </si>
  <si>
    <t xml:space="preserve">US-054</t>
  </si>
  <si>
    <t xml:space="preserve">En tant que collecteur, je veux gérer mon véhicule et sa capacité afin de recevoir des missions adaptées.</t>
  </si>
  <si>
    <t xml:space="preserve">Type de véhicule, capacité en kg/m³ ; utilisée par le matching.</t>
  </si>
  <si>
    <t xml:space="preserve">US-055</t>
  </si>
  <si>
    <t xml:space="preserve">En tant que collecteur, je veux enregistrer le dépôt de ma tournée au centre de tri ou chez le recycleur afin de assurer la traçabilité des lots.</t>
  </si>
  <si>
    <t xml:space="preserve">Sélection du destinataire ; poids total ; confirmation du recycleur.</t>
  </si>
  <si>
    <t xml:space="preserve">US-056</t>
  </si>
  <si>
    <t xml:space="preserve">En tant que système, je dois regrouper plusieurs collectes proches dans une même tournée afin de réduire les déplacements du collecteur.</t>
  </si>
  <si>
    <t xml:space="preserve">Clustering géographique ; max de collectes selon capacité.</t>
  </si>
  <si>
    <t xml:space="preserve">US-057</t>
  </si>
  <si>
    <t xml:space="preserve">En tant que collecteur, je veux obtenir l'ordre de visite optimal pour mes collectes du jour afin de économiser kilomètres, temps et carburant.</t>
  </si>
  <si>
    <t xml:space="preserve">Solveur VRP ; itinéraire affiché sur carte ; gain estimé vs ordre naïf.</t>
  </si>
  <si>
    <t xml:space="preserve">US-058</t>
  </si>
  <si>
    <t xml:space="preserve">En tant que système, je dois tenir compte de la capacité du véhicule et des créneaux horaires afin de produire des tournées réalistes.</t>
  </si>
  <si>
    <t xml:space="preserve">Contraintes de capacité et de fenêtres respectées dans 100 % des tournées générées.</t>
  </si>
  <si>
    <t xml:space="preserve">US-059</t>
  </si>
  <si>
    <t xml:space="preserve">En tant que système, je dois recalculer la tournée si une collecte est ajoutée, annulée ou retardée afin de rester optimal en temps réel.</t>
  </si>
  <si>
    <t xml:space="preserve">Recalcul en moins de 10 s ; collecteur notifié du changement.</t>
  </si>
  <si>
    <t xml:space="preserve">US-060</t>
  </si>
  <si>
    <t xml:space="preserve">En tant que collecteur, je veux voir les économies estimées (km, temps, carburant, CO₂) de ma tournée afin de mesurer l'intérêt de l'optimisation.</t>
  </si>
  <si>
    <t xml:space="preserve">Indicateurs affichés en fin de tournée.</t>
  </si>
  <si>
    <t xml:space="preserve">US-061</t>
  </si>
  <si>
    <t xml:space="preserve">En tant que système, je dois proposer au collecteur des missions compatibles avec son trajet en cours afin de augmenter son rendement.</t>
  </si>
  <si>
    <t xml:space="preserve">Suggestions dans un détour maximal configurable.</t>
  </si>
  <si>
    <t xml:space="preserve">US-062</t>
  </si>
  <si>
    <t xml:space="preserve">En tant que administrateur, je veux paramétrer les règles d'optimisation (poids des critères, détour maximal) afin de adapter l'algorithme à l'exploitation.</t>
  </si>
  <si>
    <t xml:space="preserve">Paramètres modifiables avec historique ; effet visible sur simulation.</t>
  </si>
  <si>
    <t xml:space="preserve">US-063</t>
  </si>
  <si>
    <t xml:space="preserve">En tant que citoyen, je veux suivre la position du collecteur en temps réel sur une carte afin de savoir quand il arrive.</t>
  </si>
  <si>
    <t xml:space="preserve">Rafraîchissement toutes les 5-10 s ; visible uniquement pendant la mission.</t>
  </si>
  <si>
    <t xml:space="preserve">US-064</t>
  </si>
  <si>
    <t xml:space="preserve">En tant que citoyen, je veux voir l'heure d'arrivée estimée (ETA) afin de m'organiser.</t>
  </si>
  <si>
    <t xml:space="preserve">ETA recalculée selon le trafic.</t>
  </si>
  <si>
    <t xml:space="preserve">US-065</t>
  </si>
  <si>
    <t xml:space="preserve">En tant qu'utilisateur, je veux recevoir des notifications push à chaque changement de statut afin de rester informé.</t>
  </si>
  <si>
    <t xml:space="preserve">FCM ; statuts : assignée, en route, arrivée, terminée, annulée.</t>
  </si>
  <si>
    <t xml:space="preserve">US-066</t>
  </si>
  <si>
    <t xml:space="preserve">En tant que collecteur, je veux être notifié immédiatement d'une nouvelle mission à proximité afin de ne pas manquer d'opportunité.</t>
  </si>
  <si>
    <t xml:space="preserve">Notification sonore ; ouverture directe sur le détail.</t>
  </si>
  <si>
    <t xml:space="preserve">US-067</t>
  </si>
  <si>
    <t xml:space="preserve">En tant qu'utilisateur, je veux échanger par messagerie ou appel masqué avec l'autre partie de la collecte afin de coordonner sans divulguer mon numéro.</t>
  </si>
  <si>
    <t xml:space="preserve">Chat intégré ; numéro masqué ; historique conservé.</t>
  </si>
  <si>
    <t xml:space="preserve">US-068</t>
  </si>
  <si>
    <t xml:space="preserve">En tant qu'utilisateur, je veux recevoir un SMS si je n'ai pas de connexion data afin de être prévenu malgré tout.</t>
  </si>
  <si>
    <t xml:space="preserve">SMS de secours pour événements critiques.</t>
  </si>
  <si>
    <t xml:space="preserve">US-069</t>
  </si>
  <si>
    <t xml:space="preserve">En tant que citoyen, je veux recevoir des EcoPoints après la validation de ma collecte afin de être récompensé pour mon recyclage.</t>
  </si>
  <si>
    <t xml:space="preserve">Chaîne déchets → collecte → pesée → validation → points ; crédit après clôture.</t>
  </si>
  <si>
    <t xml:space="preserve">US-070</t>
  </si>
  <si>
    <t xml:space="preserve">En tant que citoyen, je veux consulter mon solde EcoPoints et l'historique de mes gains/dépenses afin de suivre mon Recycle Wallet.</t>
  </si>
  <si>
    <t xml:space="preserve">Liste chronologique avec motif ; solde en temps réel.</t>
  </si>
  <si>
    <t xml:space="preserve">US-071</t>
  </si>
  <si>
    <t xml:space="preserve">En tant que administrateur, je veux définir les règles de calcul des EcoPoints (par kg, par matière, bonus) afin de piloter l'économie de points.</t>
  </si>
  <si>
    <t xml:space="preserve">Règles versionnées ; simulation d'impact avant publication.</t>
  </si>
  <si>
    <t xml:space="preserve">US-072</t>
  </si>
  <si>
    <t xml:space="preserve">En tant que citoyen, je veux parcourir le catalogue de récompenses partenaires afin de choisir comment utiliser mes points.</t>
  </si>
  <si>
    <t xml:space="preserve">Filtres par catégorie/coût ; disponibilité affichée.</t>
  </si>
  <si>
    <t xml:space="preserve">US-073</t>
  </si>
  <si>
    <t xml:space="preserve">En tant que citoyen, je veux échanger mes points contre un coupon ou un QR utilisable chez le partenaire afin de profiter concrètement de mes points.</t>
  </si>
  <si>
    <t xml:space="preserve">Débit atomique ; coupon à usage unique avec date d'expiration.</t>
  </si>
  <si>
    <t xml:space="preserve">US-074</t>
  </si>
  <si>
    <t xml:space="preserve">En tant que administrateur, je veux gérer les partenaires et leurs offres (réductions, produits recyclés) afin de alimenter le catalogue de récompenses.</t>
  </si>
  <si>
    <t xml:space="preserve">CRUD partenaires/offres ; stocks et périodes de validité.</t>
  </si>
  <si>
    <t xml:space="preserve">US-075</t>
  </si>
  <si>
    <t xml:space="preserve">En tant que système, je dois détecter les comportements frauduleux (collectes fictives, doublons) afin de protéger l'intégrité des points.</t>
  </si>
  <si>
    <t xml:space="preserve">Règles + alertes admin ; blocage temporaire des crédits suspects.</t>
  </si>
  <si>
    <t xml:space="preserve">US-076</t>
  </si>
  <si>
    <t xml:space="preserve">En tant que citoyen, je veux gagner des badges et des niveaux selon mon activité afin de rester motivé.</t>
  </si>
  <si>
    <t xml:space="preserve">Badges automatiques ; page de progression.</t>
  </si>
  <si>
    <t xml:space="preserve">US-077</t>
  </si>
  <si>
    <t xml:space="preserve">En tant que citoyen, je veux parrainer un proche et gagner des points bonus afin de faire grandir la communauté.</t>
  </si>
  <si>
    <t xml:space="preserve">Code de parrainage ; bonus crédité après la 1re collecte du filleul.</t>
  </si>
  <si>
    <t xml:space="preserve">US-078</t>
  </si>
  <si>
    <t xml:space="preserve">En tant que citoyen, je veux faire expirer/geler mes points selon des règles claires afin de comprendre la politique de points.</t>
  </si>
  <si>
    <t xml:space="preserve">Durée de validité affichée ; rappel avant expiration.</t>
  </si>
  <si>
    <t xml:space="preserve">US-079</t>
  </si>
  <si>
    <t xml:space="preserve">En tant que recycleur / entreprise, je veux consulter un dashboard des quantités collectées par type (PET, HDPE, PP, autres) afin de suivre mes approvisionnements.</t>
  </si>
  <si>
    <t xml:space="preserve">Tableaux + graphiques ; totaux en kg ; période sélectionnable.</t>
  </si>
  <si>
    <t xml:space="preserve">US-080</t>
  </si>
  <si>
    <t xml:space="preserve">En tant que recycleur / entreprise, je veux enregistrer la réception d'un lot livré par un collecteur (poids, contrôle qualité) afin de valider l'entrée en stock.</t>
  </si>
  <si>
    <t xml:space="preserve">Poids réel, taux de refus, remarques ; lot horodaté.</t>
  </si>
  <si>
    <t xml:space="preserve">US-081</t>
  </si>
  <si>
    <t xml:space="preserve">En tant que recycleur / entreprise, je veux gérer mon stock par matière et par qualité afin de connaître ce que je peux vendre.</t>
  </si>
  <si>
    <t xml:space="preserve">Entrées/sorties ; niveau de stock actuel ; seuil d'alerte.</t>
  </si>
  <si>
    <t xml:space="preserve">US-082</t>
  </si>
  <si>
    <t xml:space="preserve">En tant que recycleur / entreprise, je veux filtrer les quantités par période, zone géographique et collecteur afin de analyser mes flux.</t>
  </si>
  <si>
    <t xml:space="preserve">Filtres combinables ; résultat en moins de 2 s.</t>
  </si>
  <si>
    <t xml:space="preserve">US-083</t>
  </si>
  <si>
    <t xml:space="preserve">En tant que recycleur / entreprise, je veux exporter mes rapports en PDF ou Excel afin de les partager en interne.</t>
  </si>
  <si>
    <t xml:space="preserve">Export complet du tableau filtré.</t>
  </si>
  <si>
    <t xml:space="preserve">US-084</t>
  </si>
  <si>
    <t xml:space="preserve">En tant que recycleur / entreprise, je veux tracer l'origine d'un lot jusqu'aux collectes afin de garantir la traçabilité.</t>
  </si>
  <si>
    <t xml:space="preserve">Chaîne lot → tournée → collectes consultable.</t>
  </si>
  <si>
    <t xml:space="preserve">US-085</t>
  </si>
  <si>
    <t xml:space="preserve">En tant que recycleur / entreprise, je veux définir mes capacités et prix d'achat par matière afin de orienter les livraisons.</t>
  </si>
  <si>
    <t xml:space="preserve">Paramètres exploités par le matching des dépôts.</t>
  </si>
  <si>
    <t xml:space="preserve">US-086</t>
  </si>
  <si>
    <t xml:space="preserve">En tant que recycleur / entreprise, je veux recevoir une notification quand un lot est en route afin de préparer la réception.</t>
  </si>
  <si>
    <t xml:space="preserve">Notification avec ETA et quantité estimée.</t>
  </si>
  <si>
    <t xml:space="preserve">US-087</t>
  </si>
  <si>
    <t xml:space="preserve">En tant que recycleur / entreprise, je veux déclarer la production de matière recyclée (granulés, paillettes…) afin de alimenter la marketplace.</t>
  </si>
  <si>
    <t xml:space="preserve">Conversion stock brut → produit fini ; rendement calculé.</t>
  </si>
  <si>
    <t xml:space="preserve">US-088</t>
  </si>
  <si>
    <t xml:space="preserve">En tant que recycleur / entreprise, je veux voir la prévision des volumes de plastique par zone (7 et 30 jours) afin de planifier mon approvisionnement.</t>
  </si>
  <si>
    <t xml:space="preserve">Courbe avec intervalle de confiance ; horizon sélectionnable.</t>
  </si>
  <si>
    <t xml:space="preserve">Prédiction</t>
  </si>
  <si>
    <t xml:space="preserve">US-089</t>
  </si>
  <si>
    <t xml:space="preserve">En tant que recycleur / entreprise, je veux intégrer les prévisions dans mon dashboard afin de décider avec des données.</t>
  </si>
  <si>
    <t xml:space="preserve">Widget de prévision par matière sur la page d'accueil.</t>
  </si>
  <si>
    <t xml:space="preserve">US-090</t>
  </si>
  <si>
    <t xml:space="preserve">En tant que administrateur, je veux visualiser une carte de chaleur des zones à fort potentiel de déchets afin de déployer les collecteurs au bon endroit.</t>
  </si>
  <si>
    <t xml:space="preserve">Carte par quartier/gouvernorat ; couches par matière.</t>
  </si>
  <si>
    <t xml:space="preserve">US-091</t>
  </si>
  <si>
    <t xml:space="preserve">En tant que administrateur, je veux recevoir des alertes de sous-collecte ou de surcharge prévue afin de anticiper les déséquilibres.</t>
  </si>
  <si>
    <t xml:space="preserve">Alertes configurables avec seuils par zone.</t>
  </si>
  <si>
    <t xml:space="preserve">US-092</t>
  </si>
  <si>
    <t xml:space="preserve">En tant que administrateur, je veux suivre la précision du modèle de prévision (MAPE) afin de juger de sa fiabilité.</t>
  </si>
  <si>
    <t xml:space="preserve">Comparatif prévu/réel mensuel par zone.</t>
  </si>
  <si>
    <t xml:space="preserve">US-093</t>
  </si>
  <si>
    <t xml:space="preserve">En tant que système, je dois réentraîner automatiquement le modèle de prévision avec les nouvelles données afin de conserver sa pertinence.</t>
  </si>
  <si>
    <t xml:space="preserve">Pipeline planifié ; rollback si la métrique se dégrade.</t>
  </si>
  <si>
    <t xml:space="preserve">US-094</t>
  </si>
  <si>
    <t xml:space="preserve">En tant que recycleur / entreprise, je veux publier une demande d'achat (matière, quantité, lieu, date limite) afin de trouver des recycleurs disposant de la matière.</t>
  </si>
  <si>
    <t xml:space="preserve">Formulaire validé ; annonce visible aux recycleurs concernés.</t>
  </si>
  <si>
    <t xml:space="preserve">US-095</t>
  </si>
  <si>
    <t xml:space="preserve">En tant que recycleur / entreprise, je veux publier une offre de vente de matières recyclées afin de trouver des acheteurs.</t>
  </si>
  <si>
    <t xml:space="preserve">Photos, quantité, prix, localisation ; statut actif/clos.</t>
  </si>
  <si>
    <t xml:space="preserve">US-096</t>
  </si>
  <si>
    <t xml:space="preserve">En tant que recycleur / entreprise, je veux rechercher et filtrer les annonces (matière, région, quantité, date) afin de repérer les opportunités.</t>
  </si>
  <si>
    <t xml:space="preserve">Filtres combinables ; tri par pertinence/date.</t>
  </si>
  <si>
    <t xml:space="preserve">US-097</t>
  </si>
  <si>
    <t xml:space="preserve">En tant que recycleur / entreprise, je veux répondre à une demande avec une offre (prix, quantité, délai) afin de conclure des affaires.</t>
  </si>
  <si>
    <t xml:space="preserve">Offre liée à l'annonce ; notification au demandeur.</t>
  </si>
  <si>
    <t xml:space="preserve">US-098</t>
  </si>
  <si>
    <t xml:space="preserve">En tant que recycleur / entreprise, je veux négocier via une messagerie sécurisée afin de convenir des conditions.</t>
  </si>
  <si>
    <t xml:space="preserve">Chat par annonce ; pièces jointes ; historique.</t>
  </si>
  <si>
    <t xml:space="preserve">US-099</t>
  </si>
  <si>
    <t xml:space="preserve">En tant que recycleur / entreprise, je veux accepter une offre et générer une commande afin de formaliser l'accord.</t>
  </si>
  <si>
    <t xml:space="preserve">Récapitulatif des conditions ; statut de commande créé.</t>
  </si>
  <si>
    <t xml:space="preserve">US-100</t>
  </si>
  <si>
    <t xml:space="preserve">En tant que recycleur / entreprise, je veux suivre le statut de ma commande jusqu'à la livraison afin de garder la visibilité.</t>
  </si>
  <si>
    <t xml:space="preserve">Statuts : confirmée, en préparation, expédiée, livrée.</t>
  </si>
  <si>
    <t xml:space="preserve">US-101</t>
  </si>
  <si>
    <t xml:space="preserve">En tant que recycleur / entreprise, je veux noter et évaluer mes partenaires commerciaux afin de bâtir la confiance.</t>
  </si>
  <si>
    <t xml:space="preserve">Note et commentaire après commande.</t>
  </si>
  <si>
    <t xml:space="preserve">US-102</t>
  </si>
  <si>
    <t xml:space="preserve">En tant que système, je dois suggérer les annonces correspondant à mon stock ou à mes besoins afin de gagner du temps.</t>
  </si>
  <si>
    <t xml:space="preserve">Score de correspondance ; notification ciblée.</t>
  </si>
  <si>
    <t xml:space="preserve">US-103</t>
  </si>
  <si>
    <t xml:space="preserve">En tant que administrateur, je veux modérer les annonces et signalements afin de maintenir la qualité de la marketplace.</t>
  </si>
  <si>
    <t xml:space="preserve">File de modération ; suppression/suspension avec motif.</t>
  </si>
  <si>
    <t xml:space="preserve">US-104</t>
  </si>
  <si>
    <t xml:space="preserve">En tant que recycleur / entreprise, je veux payer et facturer via la plateforme afin de sécuriser les transactions.</t>
  </si>
  <si>
    <t xml:space="preserve">Facture PDF ; paiement en ligne ou virement tracé.</t>
  </si>
  <si>
    <t xml:space="preserve">US-105</t>
  </si>
  <si>
    <t xml:space="preserve">En tant que recycleur / entreprise, je veux télécharger un certificat de recyclage pour mes lots afin de justifier ma démarche RSE.</t>
  </si>
  <si>
    <t xml:space="preserve">Certificat PDF avec tonnage et traçabilité.</t>
  </si>
  <si>
    <t xml:space="preserve">US-106</t>
  </si>
  <si>
    <t xml:space="preserve">En tant que administrateur, je veux gérer les comptes utilisateurs (recherche, blocage, réactivation) afin de assurer la sécurité de la plateforme.</t>
  </si>
  <si>
    <t xml:space="preserve">Actions journalisées ; motif obligatoire pour un blocage.</t>
  </si>
  <si>
    <t xml:space="preserve">US-107</t>
  </si>
  <si>
    <t xml:space="preserve">En tant que administrateur, je veux valider ou refuser les dossiers des collecteurs et recycleurs afin de garantir la fiabilité des professionnels.</t>
  </si>
  <si>
    <t xml:space="preserve">Consultation des documents ; décision avec notification.</t>
  </si>
  <si>
    <t xml:space="preserve">US-108</t>
  </si>
  <si>
    <t xml:space="preserve">En tant que administrateur, je veux voir sur une carte toutes les collectes en cours et planifiées afin de superviser l'activité en temps réel.</t>
  </si>
  <si>
    <t xml:space="preserve">Marqueurs par statut ; filtres zone/collecteur ; rafraîchissement temps réel.</t>
  </si>
  <si>
    <t xml:space="preserve">US-109</t>
  </si>
  <si>
    <t xml:space="preserve">En tant que administrateur, je veux consulter les statistiques globales (tonnes recyclées par matière, collectes, utilisateurs actifs) afin de mesurer la performance.</t>
  </si>
  <si>
    <t xml:space="preserve">KPI + graphiques ; période sélectionnable.</t>
  </si>
  <si>
    <t xml:space="preserve">US-110</t>
  </si>
  <si>
    <t xml:space="preserve">En tant que administrateur, je veux voir le CO₂ estimé évité afin de mesurer l'impact environnemental.</t>
  </si>
  <si>
    <t xml:space="preserve">Facteurs d'émission paramétrables ; méthode documentée.</t>
  </si>
  <si>
    <t xml:space="preserve">US-111</t>
  </si>
  <si>
    <t xml:space="preserve">En tant que administrateur, je veux suivre les performances du système (taux de matching, délai moyen, précision IA, taux d'annulation) afin de piloter la qualité du service.</t>
  </si>
  <si>
    <t xml:space="preserve">Tableau de bord opérationnel avec alertes de seuil.</t>
  </si>
  <si>
    <t xml:space="preserve">US-112</t>
  </si>
  <si>
    <t xml:space="preserve">En tant que administrateur, je veux traiter les litiges et signalements afin de résoudre les conflits équitablement.</t>
  </si>
  <si>
    <t xml:space="preserve">Tickets avec statut et historique ; décision tracée.</t>
  </si>
  <si>
    <t xml:space="preserve">US-113</t>
  </si>
  <si>
    <t xml:space="preserve">En tant que administrateur, je veux gérer les rôles et permissions des administrateurs afin de limiter l'accès aux fonctions sensibles.</t>
  </si>
  <si>
    <t xml:space="preserve">RBAC par module ; principe du moindre privilège.</t>
  </si>
  <si>
    <t xml:space="preserve">US-114</t>
  </si>
  <si>
    <t xml:space="preserve">En tant que administrateur, je veux consulter le journal d'audit des actions sensibles afin de assurer la traçabilité.</t>
  </si>
  <si>
    <t xml:space="preserve">Journal immuable, filtrable, exportable.</t>
  </si>
  <si>
    <t xml:space="preserve">US-115</t>
  </si>
  <si>
    <t xml:space="preserve">En tant que administrateur, je veux exporter des rapports (PDF/Excel) pour les partenaires et institutions afin de communiquer sur les résultats.</t>
  </si>
  <si>
    <t xml:space="preserve">Modèles de rapport prédéfinis ; export planifiable.</t>
  </si>
  <si>
    <t xml:space="preserve">US-116</t>
  </si>
  <si>
    <t xml:space="preserve">En tant que administrateur, je veux envoyer des annonces et notifications à un segment d'utilisateurs afin de informer la communauté.</t>
  </si>
  <si>
    <t xml:space="preserve">Ciblage par rôle/zone ; planification d'envoi.</t>
  </si>
  <si>
    <t xml:space="preserve">US-117</t>
  </si>
  <si>
    <t xml:space="preserve">En tant que administrateur, je veux définir les zones géographiques desservies afin de limiter les demandes aux zones opérationnelles.</t>
  </si>
  <si>
    <t xml:space="preserve">Polygones sur carte ; activation/désactivation par zone.</t>
  </si>
  <si>
    <t xml:space="preserve">US-118</t>
  </si>
  <si>
    <t xml:space="preserve">En tant que citoyen, je veux consulter mon tableau de bord personnel (kg recyclés, nombre de collectes, valeur cumulée) afin de voir ma contribution.</t>
  </si>
  <si>
    <t xml:space="preserve">Chiffres et graphiques par mois ; comparaison avec le mois précédent.</t>
  </si>
  <si>
    <t xml:space="preserve">US-119</t>
  </si>
  <si>
    <t xml:space="preserve">En tant que citoyen, je veux voir le CO₂ que j'ai évité grâce à mon recyclage afin de mesurer mon impact.</t>
  </si>
  <si>
    <t xml:space="preserve">Facteurs par matière ; équivalences parlantes.</t>
  </si>
  <si>
    <t xml:space="preserve">US-120</t>
  </si>
  <si>
    <t xml:space="preserve">En tant que citoyen, je veux consulter des conseils de tri et de réduction des déchets afin de mieux recycler.</t>
  </si>
  <si>
    <t xml:space="preserve">Fiches illustrées par matière ; accessibles hors ligne.</t>
  </si>
  <si>
    <t xml:space="preserve">US-121</t>
  </si>
  <si>
    <t xml:space="preserve">En tant que citoyen, je veux participer à des défis communautaires (quartier, ville) afin de m'engager collectivement.</t>
  </si>
  <si>
    <t xml:space="preserve">Classement et objectifs collectifs ; récompenses associées.</t>
  </si>
  <si>
    <t xml:space="preserve">US-122</t>
  </si>
  <si>
    <t xml:space="preserve">En tant que citoyen, je veux partager mes résultats sur les réseaux sociaux afin de sensibiliser mon entourage.</t>
  </si>
  <si>
    <t xml:space="preserve">Carte visuelle générée ; partage natif.</t>
  </si>
  <si>
    <t xml:space="preserve">US-123</t>
  </si>
  <si>
    <t xml:space="preserve">En tant que système, je dois chiffrer toutes les communications (TLS) et protéger les API par JWT et contrôle d'accès par rôle afin de sécuriser les données.</t>
  </si>
  <si>
    <t xml:space="preserve">Aucun endpoint sensible sans authentification ; tests OWASP de base réussis.</t>
  </si>
  <si>
    <t xml:space="preserve">US-124</t>
  </si>
  <si>
    <t xml:space="preserve">En tant que système, je dois répondre aux scans en moins de 5 s (inférence + réseau) dans 90 % des cas afin de offrir une expérience fluide.</t>
  </si>
  <si>
    <t xml:space="preserve">Mesure via monitoring ; SLA vérifié en test de charge.</t>
  </si>
  <si>
    <t xml:space="preserve">US-125</t>
  </si>
  <si>
    <t xml:space="preserve">En tant que système, je dois garantir une disponibilité d'au moins 99 % afin de fiabiliser le service.</t>
  </si>
  <si>
    <t xml:space="preserve">Supervision et alertes ; plan de reprise documenté.</t>
  </si>
  <si>
    <t xml:space="preserve">US-126</t>
  </si>
  <si>
    <t xml:space="preserve">En tant que collecteur, je veux conserver mes missions et enregistrer mes actions en mode hors ligne partiel afin de travailler en zone de faible couverture.</t>
  </si>
  <si>
    <t xml:space="preserve">File locale synchronisée au retour du réseau ; gestion des conflits.</t>
  </si>
  <si>
    <t xml:space="preserve">US-127</t>
  </si>
  <si>
    <t xml:space="preserve">En tant que système, je dois se conformer à la loi organique tunisienne sur la protection des données personnelles afin de respecter le cadre légal.</t>
  </si>
  <si>
    <t xml:space="preserve">Consentements tracés ; politique de confidentialité ; droit d'accès/suppression.</t>
  </si>
  <si>
    <t xml:space="preserve">US-128</t>
  </si>
  <si>
    <t xml:space="preserve">En tant que système, je dois fonctionner sur Android et iOS avec une base de code Flutter unique afin de toucher tous les utilisateurs.</t>
  </si>
  <si>
    <t xml:space="preserve">Builds validés sur les versions récentes des deux plateformes.</t>
  </si>
  <si>
    <t xml:space="preserve">US-129</t>
  </si>
  <si>
    <t xml:space="preserve">En tant que système, je dois appliquer un design system Flutter cohérent et accessible (contrastes, tailles, lecteur d'écran) afin de garantir une bonne ergonomie.</t>
  </si>
  <si>
    <t xml:space="preserve">Composants réutilisables ; audit d'accessibilité basique.</t>
  </si>
  <si>
    <t xml:space="preserve">US-130</t>
  </si>
  <si>
    <t xml:space="preserve">En tant que système, je dois disposer d'une chaîne CI/CD avec tests automatisés (unitaires, widgets, intégration) afin de livrer de façon fiable.</t>
  </si>
  <si>
    <t xml:space="preserve">Pipeline à chaque commit ; couverture minimale définie.</t>
  </si>
  <si>
    <t xml:space="preserve">US-131</t>
  </si>
  <si>
    <t xml:space="preserve">En tant que système, je dois centraliser logs, métriques et rapports de plantage afin de détecter et corriger rapidement les incidents.</t>
  </si>
  <si>
    <t xml:space="preserve">Outil de monitoring ; alertes sur erreurs critiques.</t>
  </si>
  <si>
    <t xml:space="preserve">US-132</t>
  </si>
  <si>
    <t xml:space="preserve">En tant que système, je dois sauvegarder automatiquement les bases de données et fichiers afin de éviter toute perte de données.</t>
  </si>
  <si>
    <t xml:space="preserve">Sauvegardes quotidiennes ; restauration testée.</t>
  </si>
  <si>
    <t xml:space="preserve">Synthèse du backlog</t>
  </si>
  <si>
    <t xml:space="preserve">Par acteur</t>
  </si>
  <si>
    <t xml:space="preserve">Nb stories</t>
  </si>
  <si>
    <t xml:space="preserve">% des stories</t>
  </si>
  <si>
    <t xml:space="preserve">Par priorité (MoSCoW)</t>
  </si>
  <si>
    <t xml:space="preserve">Par release</t>
  </si>
  <si>
    <t xml:space="preserve">Par module IA</t>
  </si>
  <si>
    <t xml:space="preserve">Par statut</t>
  </si>
  <si>
    <t xml:space="preserve">En cours</t>
  </si>
  <si>
    <t xml:space="preserve">En revue</t>
  </si>
  <si>
    <t xml:space="preserve">Terminé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</si>
</sst>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2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B5E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5E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23.8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4" t="s">
        <v>13</v>
      </c>
      <c r="B11" s="3"/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2" t="s">
        <v>20</v>
      </c>
      <c r="B15" s="3" t="s">
        <v>21</v>
      </c>
    </row>
    <row r="16" customFormat="false" ht="23.85" hidden="false" customHeight="false" outlineLevel="0" collapsed="false">
      <c r="A16" s="2" t="s">
        <v>22</v>
      </c>
      <c r="B16" s="3" t="s">
        <v>23</v>
      </c>
    </row>
    <row r="17" customFormat="false" ht="23.85" hidden="false" customHeight="false" outlineLevel="0" collapsed="false">
      <c r="A17" s="2" t="s">
        <v>24</v>
      </c>
      <c r="B17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</row>
    <row r="2" customFormat="false" ht="23.85" hidden="false" customHeight="false" outlineLevel="0" collapsed="false">
      <c r="A2" s="6" t="s">
        <v>35</v>
      </c>
      <c r="B2" s="7" t="s">
        <v>36</v>
      </c>
      <c r="C2" s="7" t="s">
        <v>37</v>
      </c>
      <c r="D2" s="7" t="s">
        <v>38</v>
      </c>
      <c r="E2" s="6" t="s">
        <v>39</v>
      </c>
      <c r="F2" s="6" t="s">
        <v>40</v>
      </c>
      <c r="G2" s="7" t="s">
        <v>41</v>
      </c>
      <c r="H2" s="6" t="n">
        <f aca="false">COUNTIF('User Stories'!$B$2:$B$133,A2)</f>
        <v>10</v>
      </c>
      <c r="I2" s="6" t="n">
        <f aca="false">SUMIF('User Stories'!$B$2:$B$133,A2,'User Stories'!$H$2:$H$133)</f>
        <v>31</v>
      </c>
    </row>
    <row r="3" customFormat="false" ht="23.85" hidden="false" customHeight="false" outlineLevel="0" collapsed="false">
      <c r="A3" s="6" t="s">
        <v>42</v>
      </c>
      <c r="B3" s="7" t="s">
        <v>43</v>
      </c>
      <c r="C3" s="7" t="s">
        <v>44</v>
      </c>
      <c r="D3" s="7" t="s">
        <v>45</v>
      </c>
      <c r="E3" s="6" t="s">
        <v>39</v>
      </c>
      <c r="F3" s="6" t="s">
        <v>40</v>
      </c>
      <c r="G3" s="7" t="s">
        <v>46</v>
      </c>
      <c r="H3" s="6" t="n">
        <f aca="false">COUNTIF('User Stories'!$B$2:$B$133,A3)</f>
        <v>12</v>
      </c>
      <c r="I3" s="6" t="n">
        <f aca="false">SUMIF('User Stories'!$B$2:$B$133,A3,'User Stories'!$H$2:$H$133)</f>
        <v>48</v>
      </c>
    </row>
    <row r="4" customFormat="false" ht="23.85" hidden="false" customHeight="false" outlineLevel="0" collapsed="false">
      <c r="A4" s="6" t="s">
        <v>47</v>
      </c>
      <c r="B4" s="7" t="s">
        <v>48</v>
      </c>
      <c r="C4" s="7" t="s">
        <v>49</v>
      </c>
      <c r="D4" s="7" t="s">
        <v>50</v>
      </c>
      <c r="E4" s="6" t="s">
        <v>39</v>
      </c>
      <c r="F4" s="6" t="s">
        <v>40</v>
      </c>
      <c r="G4" s="7" t="s">
        <v>51</v>
      </c>
      <c r="H4" s="6" t="n">
        <f aca="false">COUNTIF('User Stories'!$B$2:$B$133,A4)</f>
        <v>8</v>
      </c>
      <c r="I4" s="6" t="n">
        <f aca="false">SUMIF('User Stories'!$B$2:$B$133,A4,'User Stories'!$H$2:$H$133)</f>
        <v>32</v>
      </c>
    </row>
    <row r="5" customFormat="false" ht="23.85" hidden="false" customHeight="false" outlineLevel="0" collapsed="false">
      <c r="A5" s="6" t="s">
        <v>52</v>
      </c>
      <c r="B5" s="7" t="s">
        <v>53</v>
      </c>
      <c r="C5" s="7" t="s">
        <v>54</v>
      </c>
      <c r="D5" s="7" t="s">
        <v>55</v>
      </c>
      <c r="E5" s="6" t="s">
        <v>39</v>
      </c>
      <c r="F5" s="6" t="s">
        <v>40</v>
      </c>
      <c r="G5" s="7" t="s">
        <v>56</v>
      </c>
      <c r="H5" s="6" t="n">
        <f aca="false">COUNTIF('User Stories'!$B$2:$B$133,A5)</f>
        <v>11</v>
      </c>
      <c r="I5" s="6" t="n">
        <f aca="false">SUMIF('User Stories'!$B$2:$B$133,A5,'User Stories'!$H$2:$H$133)</f>
        <v>40</v>
      </c>
    </row>
    <row r="6" customFormat="false" ht="23.85" hidden="false" customHeight="false" outlineLevel="0" collapsed="false">
      <c r="A6" s="6" t="s">
        <v>57</v>
      </c>
      <c r="B6" s="7" t="s">
        <v>58</v>
      </c>
      <c r="C6" s="7" t="s">
        <v>59</v>
      </c>
      <c r="D6" s="7" t="s">
        <v>60</v>
      </c>
      <c r="E6" s="6" t="s">
        <v>39</v>
      </c>
      <c r="F6" s="6" t="s">
        <v>40</v>
      </c>
      <c r="G6" s="7" t="s">
        <v>61</v>
      </c>
      <c r="H6" s="6" t="n">
        <f aca="false">COUNTIF('User Stories'!$B$2:$B$133,A6)</f>
        <v>14</v>
      </c>
      <c r="I6" s="6" t="n">
        <f aca="false">SUMIF('User Stories'!$B$2:$B$133,A6,'User Stories'!$H$2:$H$133)</f>
        <v>51</v>
      </c>
    </row>
    <row r="7" customFormat="false" ht="23.85" hidden="false" customHeight="false" outlineLevel="0" collapsed="false">
      <c r="A7" s="6" t="s">
        <v>62</v>
      </c>
      <c r="B7" s="7" t="s">
        <v>63</v>
      </c>
      <c r="C7" s="7" t="s">
        <v>64</v>
      </c>
      <c r="D7" s="7" t="s">
        <v>65</v>
      </c>
      <c r="E7" s="6" t="s">
        <v>66</v>
      </c>
      <c r="F7" s="6" t="s">
        <v>67</v>
      </c>
      <c r="G7" s="7" t="s">
        <v>68</v>
      </c>
      <c r="H7" s="6" t="n">
        <f aca="false">COUNTIF('User Stories'!$B$2:$B$133,A7)</f>
        <v>7</v>
      </c>
      <c r="I7" s="6" t="n">
        <f aca="false">SUMIF('User Stories'!$B$2:$B$133,A7,'User Stories'!$H$2:$H$133)</f>
        <v>48</v>
      </c>
    </row>
    <row r="8" customFormat="false" ht="23.85" hidden="false" customHeight="false" outlineLevel="0" collapsed="false">
      <c r="A8" s="6" t="s">
        <v>69</v>
      </c>
      <c r="B8" s="7" t="s">
        <v>70</v>
      </c>
      <c r="C8" s="7" t="s">
        <v>71</v>
      </c>
      <c r="D8" s="7" t="s">
        <v>72</v>
      </c>
      <c r="E8" s="6" t="s">
        <v>39</v>
      </c>
      <c r="F8" s="6" t="s">
        <v>40</v>
      </c>
      <c r="G8" s="7" t="s">
        <v>73</v>
      </c>
      <c r="H8" s="6" t="n">
        <f aca="false">COUNTIF('User Stories'!$B$2:$B$133,A8)</f>
        <v>6</v>
      </c>
      <c r="I8" s="6" t="n">
        <f aca="false">SUMIF('User Stories'!$B$2:$B$133,A8,'User Stories'!$H$2:$H$133)</f>
        <v>27</v>
      </c>
    </row>
    <row r="9" customFormat="false" ht="23.85" hidden="false" customHeight="false" outlineLevel="0" collapsed="false">
      <c r="A9" s="6" t="s">
        <v>74</v>
      </c>
      <c r="B9" s="7" t="s">
        <v>75</v>
      </c>
      <c r="C9" s="7" t="s">
        <v>76</v>
      </c>
      <c r="D9" s="7" t="s">
        <v>45</v>
      </c>
      <c r="E9" s="6" t="s">
        <v>39</v>
      </c>
      <c r="F9" s="6" t="s">
        <v>67</v>
      </c>
      <c r="G9" s="7" t="s">
        <v>77</v>
      </c>
      <c r="H9" s="6" t="n">
        <f aca="false">COUNTIF('User Stories'!$B$2:$B$133,A9)</f>
        <v>10</v>
      </c>
      <c r="I9" s="6" t="n">
        <f aca="false">SUMIF('User Stories'!$B$2:$B$133,A9,'User Stories'!$H$2:$H$133)</f>
        <v>47</v>
      </c>
    </row>
    <row r="10" customFormat="false" ht="23.85" hidden="false" customHeight="false" outlineLevel="0" collapsed="false">
      <c r="A10" s="6" t="s">
        <v>78</v>
      </c>
      <c r="B10" s="7" t="s">
        <v>79</v>
      </c>
      <c r="C10" s="7" t="s">
        <v>80</v>
      </c>
      <c r="D10" s="7" t="s">
        <v>81</v>
      </c>
      <c r="E10" s="6" t="s">
        <v>39</v>
      </c>
      <c r="F10" s="6" t="s">
        <v>67</v>
      </c>
      <c r="G10" s="7" t="s">
        <v>82</v>
      </c>
      <c r="H10" s="6" t="n">
        <f aca="false">COUNTIF('User Stories'!$B$2:$B$133,A10)</f>
        <v>9</v>
      </c>
      <c r="I10" s="6" t="n">
        <f aca="false">SUMIF('User Stories'!$B$2:$B$133,A10,'User Stories'!$H$2:$H$133)</f>
        <v>39</v>
      </c>
    </row>
    <row r="11" customFormat="false" ht="23.85" hidden="false" customHeight="false" outlineLevel="0" collapsed="false">
      <c r="A11" s="6" t="s">
        <v>83</v>
      </c>
      <c r="B11" s="7" t="s">
        <v>84</v>
      </c>
      <c r="C11" s="7" t="s">
        <v>85</v>
      </c>
      <c r="D11" s="7" t="s">
        <v>86</v>
      </c>
      <c r="E11" s="6" t="s">
        <v>66</v>
      </c>
      <c r="F11" s="6" t="s">
        <v>87</v>
      </c>
      <c r="G11" s="7" t="s">
        <v>88</v>
      </c>
      <c r="H11" s="6" t="n">
        <f aca="false">COUNTIF('User Stories'!$B$2:$B$133,A11)</f>
        <v>6</v>
      </c>
      <c r="I11" s="6" t="n">
        <f aca="false">SUMIF('User Stories'!$B$2:$B$133,A11,'User Stories'!$H$2:$H$133)</f>
        <v>42</v>
      </c>
    </row>
    <row r="12" customFormat="false" ht="23.85" hidden="false" customHeight="false" outlineLevel="0" collapsed="false">
      <c r="A12" s="6" t="s">
        <v>89</v>
      </c>
      <c r="B12" s="7" t="s">
        <v>90</v>
      </c>
      <c r="C12" s="7" t="s">
        <v>91</v>
      </c>
      <c r="D12" s="7" t="s">
        <v>92</v>
      </c>
      <c r="E12" s="6" t="s">
        <v>66</v>
      </c>
      <c r="F12" s="6" t="s">
        <v>87</v>
      </c>
      <c r="G12" s="7" t="s">
        <v>93</v>
      </c>
      <c r="H12" s="6" t="n">
        <f aca="false">COUNTIF('User Stories'!$B$2:$B$133,A12)</f>
        <v>12</v>
      </c>
      <c r="I12" s="6" t="n">
        <f aca="false">SUMIF('User Stories'!$B$2:$B$133,A12,'User Stories'!$H$2:$H$133)</f>
        <v>64</v>
      </c>
    </row>
    <row r="13" customFormat="false" ht="23.85" hidden="false" customHeight="false" outlineLevel="0" collapsed="false">
      <c r="A13" s="6" t="s">
        <v>94</v>
      </c>
      <c r="B13" s="7" t="s">
        <v>95</v>
      </c>
      <c r="C13" s="7" t="s">
        <v>96</v>
      </c>
      <c r="D13" s="7" t="s">
        <v>97</v>
      </c>
      <c r="E13" s="6" t="s">
        <v>39</v>
      </c>
      <c r="F13" s="6" t="s">
        <v>40</v>
      </c>
      <c r="G13" s="7" t="s">
        <v>98</v>
      </c>
      <c r="H13" s="6" t="n">
        <f aca="false">COUNTIF('User Stories'!$B$2:$B$133,A13)</f>
        <v>12</v>
      </c>
      <c r="I13" s="6" t="n">
        <f aca="false">SUMIF('User Stories'!$B$2:$B$133,A13,'User Stories'!$H$2:$H$133)</f>
        <v>65</v>
      </c>
    </row>
    <row r="14" customFormat="false" ht="15" hidden="false" customHeight="false" outlineLevel="0" collapsed="false">
      <c r="A14" s="6" t="s">
        <v>99</v>
      </c>
      <c r="B14" s="7" t="s">
        <v>100</v>
      </c>
      <c r="C14" s="7" t="s">
        <v>101</v>
      </c>
      <c r="D14" s="7" t="s">
        <v>102</v>
      </c>
      <c r="E14" s="6" t="s">
        <v>66</v>
      </c>
      <c r="F14" s="6" t="s">
        <v>67</v>
      </c>
      <c r="G14" s="7" t="s">
        <v>103</v>
      </c>
      <c r="H14" s="6" t="n">
        <f aca="false">COUNTIF('User Stories'!$B$2:$B$133,A14)</f>
        <v>5</v>
      </c>
      <c r="I14" s="6" t="n">
        <f aca="false">SUMIF('User Stories'!$B$2:$B$133,A14,'User Stories'!$H$2:$H$133)</f>
        <v>22</v>
      </c>
    </row>
    <row r="15" customFormat="false" ht="23.85" hidden="false" customHeight="false" outlineLevel="0" collapsed="false">
      <c r="A15" s="6" t="s">
        <v>104</v>
      </c>
      <c r="B15" s="7" t="s">
        <v>105</v>
      </c>
      <c r="C15" s="7" t="s">
        <v>106</v>
      </c>
      <c r="D15" s="7" t="s">
        <v>107</v>
      </c>
      <c r="E15" s="6" t="s">
        <v>39</v>
      </c>
      <c r="F15" s="6" t="s">
        <v>40</v>
      </c>
      <c r="G15" s="7" t="s">
        <v>108</v>
      </c>
      <c r="H15" s="6" t="n">
        <f aca="false">COUNTIF('User Stories'!$B$2:$B$133,A15)</f>
        <v>10</v>
      </c>
      <c r="I15" s="6" t="n">
        <f aca="false">SUMIF('User Stories'!$B$2:$B$133,A15,'User Stories'!$H$2:$H$133)</f>
        <v>52</v>
      </c>
    </row>
    <row r="16" customFormat="false" ht="15" hidden="false" customHeight="false" outlineLevel="0" collapsed="false">
      <c r="A16" s="8" t="s">
        <v>109</v>
      </c>
      <c r="B16" s="8"/>
      <c r="C16" s="8"/>
      <c r="D16" s="8"/>
      <c r="E16" s="8"/>
      <c r="F16" s="8"/>
      <c r="G16" s="8"/>
      <c r="H16" s="8" t="n">
        <f aca="false">SUM(H2:H15)</f>
        <v>132</v>
      </c>
      <c r="I16" s="8" t="n">
        <f aca="false">SUM(I2:I15)</f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5" t="s">
        <v>110</v>
      </c>
      <c r="B1" s="5" t="s">
        <v>26</v>
      </c>
      <c r="C1" s="5" t="s">
        <v>27</v>
      </c>
      <c r="D1" s="5" t="s">
        <v>111</v>
      </c>
      <c r="E1" s="5" t="s">
        <v>112</v>
      </c>
      <c r="F1" s="5" t="s">
        <v>113</v>
      </c>
      <c r="G1" s="5" t="s">
        <v>30</v>
      </c>
      <c r="H1" s="5" t="s">
        <v>16</v>
      </c>
      <c r="I1" s="5" t="s">
        <v>18</v>
      </c>
      <c r="J1" s="5" t="s">
        <v>114</v>
      </c>
      <c r="K1" s="5" t="s">
        <v>20</v>
      </c>
    </row>
    <row r="2" customFormat="false" ht="23.85" hidden="false" customHeight="false" outlineLevel="0" collapsed="false">
      <c r="A2" s="6" t="s">
        <v>115</v>
      </c>
      <c r="B2" s="6" t="s">
        <v>35</v>
      </c>
      <c r="C2" s="7" t="str">
        <f aca="false">INDEX(Epics!$B$2:$B$15,MATCH(B2,Epics!$A$2:$A$15,0))</f>
        <v>Authentification &amp; profils</v>
      </c>
      <c r="D2" s="7" t="s">
        <v>116</v>
      </c>
      <c r="E2" s="7" t="s">
        <v>117</v>
      </c>
      <c r="F2" s="7" t="s">
        <v>118</v>
      </c>
      <c r="G2" s="9" t="s">
        <v>39</v>
      </c>
      <c r="H2" s="9" t="n">
        <v>3</v>
      </c>
      <c r="I2" s="9" t="s">
        <v>40</v>
      </c>
      <c r="J2" s="6" t="s">
        <v>119</v>
      </c>
      <c r="K2" s="9" t="s">
        <v>120</v>
      </c>
    </row>
    <row r="3" customFormat="false" ht="23.85" hidden="false" customHeight="false" outlineLevel="0" collapsed="false">
      <c r="A3" s="6" t="s">
        <v>121</v>
      </c>
      <c r="B3" s="6" t="s">
        <v>35</v>
      </c>
      <c r="C3" s="7" t="str">
        <f aca="false">INDEX(Epics!$B$2:$B$15,MATCH(B3,Epics!$A$2:$A$15,0))</f>
        <v>Authentification &amp; profils</v>
      </c>
      <c r="D3" s="7" t="s">
        <v>116</v>
      </c>
      <c r="E3" s="7" t="s">
        <v>122</v>
      </c>
      <c r="F3" s="7" t="s">
        <v>123</v>
      </c>
      <c r="G3" s="9" t="s">
        <v>39</v>
      </c>
      <c r="H3" s="9" t="n">
        <v>3</v>
      </c>
      <c r="I3" s="9" t="s">
        <v>40</v>
      </c>
      <c r="J3" s="6" t="s">
        <v>119</v>
      </c>
      <c r="K3" s="9" t="s">
        <v>120</v>
      </c>
    </row>
    <row r="4" customFormat="false" ht="23.85" hidden="false" customHeight="false" outlineLevel="0" collapsed="false">
      <c r="A4" s="6" t="s">
        <v>124</v>
      </c>
      <c r="B4" s="6" t="s">
        <v>35</v>
      </c>
      <c r="C4" s="7" t="str">
        <f aca="false">INDEX(Epics!$B$2:$B$15,MATCH(B4,Epics!$A$2:$A$15,0))</f>
        <v>Authentification &amp; profils</v>
      </c>
      <c r="D4" s="7" t="s">
        <v>116</v>
      </c>
      <c r="E4" s="7" t="s">
        <v>125</v>
      </c>
      <c r="F4" s="7" t="s">
        <v>126</v>
      </c>
      <c r="G4" s="9" t="s">
        <v>39</v>
      </c>
      <c r="H4" s="9" t="n">
        <v>2</v>
      </c>
      <c r="I4" s="9" t="s">
        <v>40</v>
      </c>
      <c r="J4" s="6" t="s">
        <v>119</v>
      </c>
      <c r="K4" s="9" t="s">
        <v>120</v>
      </c>
    </row>
    <row r="5" customFormat="false" ht="23.85" hidden="false" customHeight="false" outlineLevel="0" collapsed="false">
      <c r="A5" s="6" t="s">
        <v>127</v>
      </c>
      <c r="B5" s="6" t="s">
        <v>35</v>
      </c>
      <c r="C5" s="7" t="str">
        <f aca="false">INDEX(Epics!$B$2:$B$15,MATCH(B5,Epics!$A$2:$A$15,0))</f>
        <v>Authentification &amp; profils</v>
      </c>
      <c r="D5" s="7" t="s">
        <v>116</v>
      </c>
      <c r="E5" s="7" t="s">
        <v>128</v>
      </c>
      <c r="F5" s="7" t="s">
        <v>129</v>
      </c>
      <c r="G5" s="9" t="s">
        <v>39</v>
      </c>
      <c r="H5" s="9" t="n">
        <v>2</v>
      </c>
      <c r="I5" s="9" t="s">
        <v>40</v>
      </c>
      <c r="J5" s="6" t="s">
        <v>119</v>
      </c>
      <c r="K5" s="9" t="s">
        <v>120</v>
      </c>
    </row>
    <row r="6" customFormat="false" ht="23.85" hidden="false" customHeight="false" outlineLevel="0" collapsed="false">
      <c r="A6" s="6" t="s">
        <v>130</v>
      </c>
      <c r="B6" s="6" t="s">
        <v>35</v>
      </c>
      <c r="C6" s="7" t="str">
        <f aca="false">INDEX(Epics!$B$2:$B$15,MATCH(B6,Epics!$A$2:$A$15,0))</f>
        <v>Authentification &amp; profils</v>
      </c>
      <c r="D6" s="7" t="s">
        <v>102</v>
      </c>
      <c r="E6" s="7" t="s">
        <v>131</v>
      </c>
      <c r="F6" s="7" t="s">
        <v>132</v>
      </c>
      <c r="G6" s="9" t="s">
        <v>66</v>
      </c>
      <c r="H6" s="9" t="n">
        <v>3</v>
      </c>
      <c r="I6" s="9" t="s">
        <v>40</v>
      </c>
      <c r="J6" s="6" t="s">
        <v>119</v>
      </c>
      <c r="K6" s="9" t="s">
        <v>120</v>
      </c>
    </row>
    <row r="7" customFormat="false" ht="23.85" hidden="false" customHeight="false" outlineLevel="0" collapsed="false">
      <c r="A7" s="6" t="s">
        <v>133</v>
      </c>
      <c r="B7" s="6" t="s">
        <v>35</v>
      </c>
      <c r="C7" s="7" t="str">
        <f aca="false">INDEX(Epics!$B$2:$B$15,MATCH(B7,Epics!$A$2:$A$15,0))</f>
        <v>Authentification &amp; profils</v>
      </c>
      <c r="D7" s="7" t="s">
        <v>60</v>
      </c>
      <c r="E7" s="7" t="s">
        <v>134</v>
      </c>
      <c r="F7" s="7" t="s">
        <v>135</v>
      </c>
      <c r="G7" s="9" t="s">
        <v>39</v>
      </c>
      <c r="H7" s="9" t="n">
        <v>5</v>
      </c>
      <c r="I7" s="9" t="s">
        <v>40</v>
      </c>
      <c r="J7" s="6" t="s">
        <v>119</v>
      </c>
      <c r="K7" s="9" t="s">
        <v>120</v>
      </c>
    </row>
    <row r="8" customFormat="false" ht="35.05" hidden="false" customHeight="false" outlineLevel="0" collapsed="false">
      <c r="A8" s="6" t="s">
        <v>136</v>
      </c>
      <c r="B8" s="6" t="s">
        <v>35</v>
      </c>
      <c r="C8" s="7" t="str">
        <f aca="false">INDEX(Epics!$B$2:$B$15,MATCH(B8,Epics!$A$2:$A$15,0))</f>
        <v>Authentification &amp; profils</v>
      </c>
      <c r="D8" s="7" t="s">
        <v>81</v>
      </c>
      <c r="E8" s="7" t="s">
        <v>137</v>
      </c>
      <c r="F8" s="7" t="s">
        <v>138</v>
      </c>
      <c r="G8" s="9" t="s">
        <v>39</v>
      </c>
      <c r="H8" s="9" t="n">
        <v>3</v>
      </c>
      <c r="I8" s="9" t="s">
        <v>67</v>
      </c>
      <c r="J8" s="6" t="s">
        <v>119</v>
      </c>
      <c r="K8" s="9" t="s">
        <v>120</v>
      </c>
    </row>
    <row r="9" customFormat="false" ht="23.85" hidden="false" customHeight="false" outlineLevel="0" collapsed="false">
      <c r="A9" s="6" t="s">
        <v>139</v>
      </c>
      <c r="B9" s="6" t="s">
        <v>35</v>
      </c>
      <c r="C9" s="7" t="str">
        <f aca="false">INDEX(Epics!$B$2:$B$15,MATCH(B9,Epics!$A$2:$A$15,0))</f>
        <v>Authentification &amp; profils</v>
      </c>
      <c r="D9" s="7" t="s">
        <v>116</v>
      </c>
      <c r="E9" s="7" t="s">
        <v>140</v>
      </c>
      <c r="F9" s="7" t="s">
        <v>141</v>
      </c>
      <c r="G9" s="9" t="s">
        <v>66</v>
      </c>
      <c r="H9" s="9" t="n">
        <v>5</v>
      </c>
      <c r="I9" s="9" t="s">
        <v>67</v>
      </c>
      <c r="J9" s="6" t="s">
        <v>119</v>
      </c>
      <c r="K9" s="9" t="s">
        <v>120</v>
      </c>
    </row>
    <row r="10" customFormat="false" ht="23.85" hidden="false" customHeight="false" outlineLevel="0" collapsed="false">
      <c r="A10" s="6" t="s">
        <v>142</v>
      </c>
      <c r="B10" s="6" t="s">
        <v>35</v>
      </c>
      <c r="C10" s="7" t="str">
        <f aca="false">INDEX(Epics!$B$2:$B$15,MATCH(B10,Epics!$A$2:$A$15,0))</f>
        <v>Authentification &amp; profils</v>
      </c>
      <c r="D10" s="7" t="s">
        <v>116</v>
      </c>
      <c r="E10" s="7" t="s">
        <v>143</v>
      </c>
      <c r="F10" s="7" t="s">
        <v>144</v>
      </c>
      <c r="G10" s="9" t="s">
        <v>145</v>
      </c>
      <c r="H10" s="9" t="n">
        <v>2</v>
      </c>
      <c r="I10" s="9" t="s">
        <v>67</v>
      </c>
      <c r="J10" s="6" t="s">
        <v>119</v>
      </c>
      <c r="K10" s="9" t="s">
        <v>120</v>
      </c>
    </row>
    <row r="11" customFormat="false" ht="23.85" hidden="false" customHeight="false" outlineLevel="0" collapsed="false">
      <c r="A11" s="6" t="s">
        <v>146</v>
      </c>
      <c r="B11" s="6" t="s">
        <v>35</v>
      </c>
      <c r="C11" s="7" t="str">
        <f aca="false">INDEX(Epics!$B$2:$B$15,MATCH(B11,Epics!$A$2:$A$15,0))</f>
        <v>Authentification &amp; profils</v>
      </c>
      <c r="D11" s="7" t="s">
        <v>116</v>
      </c>
      <c r="E11" s="7" t="s">
        <v>147</v>
      </c>
      <c r="F11" s="7" t="s">
        <v>148</v>
      </c>
      <c r="G11" s="9" t="s">
        <v>66</v>
      </c>
      <c r="H11" s="9" t="n">
        <v>3</v>
      </c>
      <c r="I11" s="9" t="s">
        <v>67</v>
      </c>
      <c r="J11" s="6" t="s">
        <v>119</v>
      </c>
      <c r="K11" s="9" t="s">
        <v>120</v>
      </c>
    </row>
    <row r="12" customFormat="false" ht="23.85" hidden="false" customHeight="false" outlineLevel="0" collapsed="false">
      <c r="A12" s="6" t="s">
        <v>149</v>
      </c>
      <c r="B12" s="6" t="s">
        <v>42</v>
      </c>
      <c r="C12" s="7" t="str">
        <f aca="false">INDEX(Epics!$B$2:$B$15,MATCH(B12,Epics!$A$2:$A$15,0))</f>
        <v>Vision IA – scan des déchets</v>
      </c>
      <c r="D12" s="7" t="s">
        <v>102</v>
      </c>
      <c r="E12" s="7" t="s">
        <v>150</v>
      </c>
      <c r="F12" s="7" t="s">
        <v>151</v>
      </c>
      <c r="G12" s="9" t="s">
        <v>39</v>
      </c>
      <c r="H12" s="9" t="n">
        <v>3</v>
      </c>
      <c r="I12" s="9" t="s">
        <v>40</v>
      </c>
      <c r="J12" s="6" t="s">
        <v>152</v>
      </c>
      <c r="K12" s="9" t="s">
        <v>120</v>
      </c>
    </row>
    <row r="13" customFormat="false" ht="23.85" hidden="false" customHeight="false" outlineLevel="0" collapsed="false">
      <c r="A13" s="6" t="s">
        <v>153</v>
      </c>
      <c r="B13" s="6" t="s">
        <v>42</v>
      </c>
      <c r="C13" s="7" t="str">
        <f aca="false">INDEX(Epics!$B$2:$B$15,MATCH(B13,Epics!$A$2:$A$15,0))</f>
        <v>Vision IA – scan des déchets</v>
      </c>
      <c r="D13" s="7" t="s">
        <v>102</v>
      </c>
      <c r="E13" s="7" t="s">
        <v>154</v>
      </c>
      <c r="F13" s="7" t="s">
        <v>155</v>
      </c>
      <c r="G13" s="9" t="s">
        <v>66</v>
      </c>
      <c r="H13" s="9" t="n">
        <v>2</v>
      </c>
      <c r="I13" s="9" t="s">
        <v>40</v>
      </c>
      <c r="J13" s="6" t="s">
        <v>152</v>
      </c>
      <c r="K13" s="9" t="s">
        <v>120</v>
      </c>
    </row>
    <row r="14" customFormat="false" ht="23.85" hidden="false" customHeight="false" outlineLevel="0" collapsed="false">
      <c r="A14" s="6" t="s">
        <v>156</v>
      </c>
      <c r="B14" s="6" t="s">
        <v>42</v>
      </c>
      <c r="C14" s="7" t="str">
        <f aca="false">INDEX(Epics!$B$2:$B$15,MATCH(B14,Epics!$A$2:$A$15,0))</f>
        <v>Vision IA – scan des déchets</v>
      </c>
      <c r="D14" s="7" t="s">
        <v>102</v>
      </c>
      <c r="E14" s="7" t="s">
        <v>157</v>
      </c>
      <c r="F14" s="7" t="s">
        <v>158</v>
      </c>
      <c r="G14" s="9" t="s">
        <v>39</v>
      </c>
      <c r="H14" s="9" t="n">
        <v>5</v>
      </c>
      <c r="I14" s="9" t="s">
        <v>40</v>
      </c>
      <c r="J14" s="6" t="s">
        <v>152</v>
      </c>
      <c r="K14" s="9" t="s">
        <v>120</v>
      </c>
    </row>
    <row r="15" customFormat="false" ht="23.85" hidden="false" customHeight="false" outlineLevel="0" collapsed="false">
      <c r="A15" s="6" t="s">
        <v>159</v>
      </c>
      <c r="B15" s="6" t="s">
        <v>42</v>
      </c>
      <c r="C15" s="7" t="str">
        <f aca="false">INDEX(Epics!$B$2:$B$15,MATCH(B15,Epics!$A$2:$A$15,0))</f>
        <v>Vision IA – scan des déchets</v>
      </c>
      <c r="D15" s="7" t="s">
        <v>102</v>
      </c>
      <c r="E15" s="7" t="s">
        <v>160</v>
      </c>
      <c r="F15" s="7" t="s">
        <v>161</v>
      </c>
      <c r="G15" s="9" t="s">
        <v>39</v>
      </c>
      <c r="H15" s="9" t="n">
        <v>3</v>
      </c>
      <c r="I15" s="9" t="s">
        <v>40</v>
      </c>
      <c r="J15" s="6" t="s">
        <v>152</v>
      </c>
      <c r="K15" s="9" t="s">
        <v>120</v>
      </c>
    </row>
    <row r="16" customFormat="false" ht="23.85" hidden="false" customHeight="false" outlineLevel="0" collapsed="false">
      <c r="A16" s="6" t="s">
        <v>162</v>
      </c>
      <c r="B16" s="6" t="s">
        <v>42</v>
      </c>
      <c r="C16" s="7" t="str">
        <f aca="false">INDEX(Epics!$B$2:$B$15,MATCH(B16,Epics!$A$2:$A$15,0))</f>
        <v>Vision IA – scan des déchets</v>
      </c>
      <c r="D16" s="7" t="s">
        <v>102</v>
      </c>
      <c r="E16" s="7" t="s">
        <v>163</v>
      </c>
      <c r="F16" s="7" t="s">
        <v>164</v>
      </c>
      <c r="G16" s="9" t="s">
        <v>66</v>
      </c>
      <c r="H16" s="9" t="n">
        <v>3</v>
      </c>
      <c r="I16" s="9" t="s">
        <v>40</v>
      </c>
      <c r="J16" s="6" t="s">
        <v>152</v>
      </c>
      <c r="K16" s="9" t="s">
        <v>120</v>
      </c>
    </row>
    <row r="17" customFormat="false" ht="23.85" hidden="false" customHeight="false" outlineLevel="0" collapsed="false">
      <c r="A17" s="6" t="s">
        <v>165</v>
      </c>
      <c r="B17" s="6" t="s">
        <v>42</v>
      </c>
      <c r="C17" s="7" t="str">
        <f aca="false">INDEX(Epics!$B$2:$B$15,MATCH(B17,Epics!$A$2:$A$15,0))</f>
        <v>Vision IA – scan des déchets</v>
      </c>
      <c r="D17" s="7" t="s">
        <v>102</v>
      </c>
      <c r="E17" s="7" t="s">
        <v>166</v>
      </c>
      <c r="F17" s="7" t="s">
        <v>167</v>
      </c>
      <c r="G17" s="9" t="s">
        <v>39</v>
      </c>
      <c r="H17" s="9" t="n">
        <v>5</v>
      </c>
      <c r="I17" s="9" t="s">
        <v>40</v>
      </c>
      <c r="J17" s="6" t="s">
        <v>152</v>
      </c>
      <c r="K17" s="9" t="s">
        <v>120</v>
      </c>
    </row>
    <row r="18" customFormat="false" ht="23.85" hidden="false" customHeight="false" outlineLevel="0" collapsed="false">
      <c r="A18" s="6" t="s">
        <v>168</v>
      </c>
      <c r="B18" s="6" t="s">
        <v>42</v>
      </c>
      <c r="C18" s="7" t="str">
        <f aca="false">INDEX(Epics!$B$2:$B$15,MATCH(B18,Epics!$A$2:$A$15,0))</f>
        <v>Vision IA – scan des déchets</v>
      </c>
      <c r="D18" s="7" t="s">
        <v>102</v>
      </c>
      <c r="E18" s="7" t="s">
        <v>169</v>
      </c>
      <c r="F18" s="7" t="s">
        <v>170</v>
      </c>
      <c r="G18" s="9" t="s">
        <v>66</v>
      </c>
      <c r="H18" s="9" t="n">
        <v>3</v>
      </c>
      <c r="I18" s="9" t="s">
        <v>67</v>
      </c>
      <c r="J18" s="6" t="s">
        <v>152</v>
      </c>
      <c r="K18" s="9" t="s">
        <v>120</v>
      </c>
    </row>
    <row r="19" customFormat="false" ht="23.85" hidden="false" customHeight="false" outlineLevel="0" collapsed="false">
      <c r="A19" s="6" t="s">
        <v>171</v>
      </c>
      <c r="B19" s="6" t="s">
        <v>42</v>
      </c>
      <c r="C19" s="7" t="str">
        <f aca="false">INDEX(Epics!$B$2:$B$15,MATCH(B19,Epics!$A$2:$A$15,0))</f>
        <v>Vision IA – scan des déchets</v>
      </c>
      <c r="D19" s="7" t="s">
        <v>102</v>
      </c>
      <c r="E19" s="7" t="s">
        <v>172</v>
      </c>
      <c r="F19" s="7" t="s">
        <v>173</v>
      </c>
      <c r="G19" s="9" t="s">
        <v>145</v>
      </c>
      <c r="H19" s="9" t="n">
        <v>8</v>
      </c>
      <c r="I19" s="9" t="s">
        <v>87</v>
      </c>
      <c r="J19" s="6" t="s">
        <v>152</v>
      </c>
      <c r="K19" s="9" t="s">
        <v>120</v>
      </c>
    </row>
    <row r="20" customFormat="false" ht="23.85" hidden="false" customHeight="false" outlineLevel="0" collapsed="false">
      <c r="A20" s="6" t="s">
        <v>174</v>
      </c>
      <c r="B20" s="6" t="s">
        <v>42</v>
      </c>
      <c r="C20" s="7" t="str">
        <f aca="false">INDEX(Epics!$B$2:$B$15,MATCH(B20,Epics!$A$2:$A$15,0))</f>
        <v>Vision IA – scan des déchets</v>
      </c>
      <c r="D20" s="7" t="s">
        <v>97</v>
      </c>
      <c r="E20" s="7" t="s">
        <v>175</v>
      </c>
      <c r="F20" s="7" t="s">
        <v>176</v>
      </c>
      <c r="G20" s="9" t="s">
        <v>66</v>
      </c>
      <c r="H20" s="9" t="n">
        <v>5</v>
      </c>
      <c r="I20" s="9" t="s">
        <v>87</v>
      </c>
      <c r="J20" s="6" t="s">
        <v>152</v>
      </c>
      <c r="K20" s="9" t="s">
        <v>120</v>
      </c>
    </row>
    <row r="21" customFormat="false" ht="23.85" hidden="false" customHeight="false" outlineLevel="0" collapsed="false">
      <c r="A21" s="6" t="s">
        <v>177</v>
      </c>
      <c r="B21" s="6" t="s">
        <v>42</v>
      </c>
      <c r="C21" s="7" t="str">
        <f aca="false">INDEX(Epics!$B$2:$B$15,MATCH(B21,Epics!$A$2:$A$15,0))</f>
        <v>Vision IA – scan des déchets</v>
      </c>
      <c r="D21" s="7" t="s">
        <v>97</v>
      </c>
      <c r="E21" s="7" t="s">
        <v>178</v>
      </c>
      <c r="F21" s="7" t="s">
        <v>179</v>
      </c>
      <c r="G21" s="9" t="s">
        <v>66</v>
      </c>
      <c r="H21" s="9" t="n">
        <v>5</v>
      </c>
      <c r="I21" s="9" t="s">
        <v>87</v>
      </c>
      <c r="J21" s="6" t="s">
        <v>152</v>
      </c>
      <c r="K21" s="9" t="s">
        <v>120</v>
      </c>
    </row>
    <row r="22" customFormat="false" ht="23.85" hidden="false" customHeight="false" outlineLevel="0" collapsed="false">
      <c r="A22" s="6" t="s">
        <v>180</v>
      </c>
      <c r="B22" s="6" t="s">
        <v>42</v>
      </c>
      <c r="C22" s="7" t="str">
        <f aca="false">INDEX(Epics!$B$2:$B$15,MATCH(B22,Epics!$A$2:$A$15,0))</f>
        <v>Vision IA – scan des déchets</v>
      </c>
      <c r="D22" s="7" t="s">
        <v>107</v>
      </c>
      <c r="E22" s="7" t="s">
        <v>181</v>
      </c>
      <c r="F22" s="7" t="s">
        <v>182</v>
      </c>
      <c r="G22" s="9" t="s">
        <v>66</v>
      </c>
      <c r="H22" s="9" t="n">
        <v>3</v>
      </c>
      <c r="I22" s="9" t="s">
        <v>67</v>
      </c>
      <c r="J22" s="6" t="s">
        <v>152</v>
      </c>
      <c r="K22" s="9" t="s">
        <v>120</v>
      </c>
    </row>
    <row r="23" customFormat="false" ht="35.05" hidden="false" customHeight="false" outlineLevel="0" collapsed="false">
      <c r="A23" s="6" t="s">
        <v>183</v>
      </c>
      <c r="B23" s="6" t="s">
        <v>42</v>
      </c>
      <c r="C23" s="7" t="str">
        <f aca="false">INDEX(Epics!$B$2:$B$15,MATCH(B23,Epics!$A$2:$A$15,0))</f>
        <v>Vision IA – scan des déchets</v>
      </c>
      <c r="D23" s="7" t="s">
        <v>97</v>
      </c>
      <c r="E23" s="7" t="s">
        <v>184</v>
      </c>
      <c r="F23" s="7" t="s">
        <v>185</v>
      </c>
      <c r="G23" s="9" t="s">
        <v>39</v>
      </c>
      <c r="H23" s="9" t="n">
        <v>3</v>
      </c>
      <c r="I23" s="9" t="s">
        <v>40</v>
      </c>
      <c r="J23" s="6" t="s">
        <v>152</v>
      </c>
      <c r="K23" s="9" t="s">
        <v>120</v>
      </c>
    </row>
    <row r="24" customFormat="false" ht="23.85" hidden="false" customHeight="false" outlineLevel="0" collapsed="false">
      <c r="A24" s="6" t="s">
        <v>186</v>
      </c>
      <c r="B24" s="6" t="s">
        <v>47</v>
      </c>
      <c r="C24" s="7" t="str">
        <f aca="false">INDEX(Epics!$B$2:$B$15,MATCH(B24,Epics!$A$2:$A$15,0))</f>
        <v>Estimation intelligente quantité &amp; valeur</v>
      </c>
      <c r="D24" s="7" t="s">
        <v>102</v>
      </c>
      <c r="E24" s="7" t="s">
        <v>187</v>
      </c>
      <c r="F24" s="7" t="s">
        <v>188</v>
      </c>
      <c r="G24" s="9" t="s">
        <v>39</v>
      </c>
      <c r="H24" s="9" t="n">
        <v>5</v>
      </c>
      <c r="I24" s="9" t="s">
        <v>40</v>
      </c>
      <c r="J24" s="6" t="s">
        <v>189</v>
      </c>
      <c r="K24" s="9" t="s">
        <v>120</v>
      </c>
    </row>
    <row r="25" customFormat="false" ht="23.85" hidden="false" customHeight="false" outlineLevel="0" collapsed="false">
      <c r="A25" s="6" t="s">
        <v>190</v>
      </c>
      <c r="B25" s="6" t="s">
        <v>47</v>
      </c>
      <c r="C25" s="7" t="str">
        <f aca="false">INDEX(Epics!$B$2:$B$15,MATCH(B25,Epics!$A$2:$A$15,0))</f>
        <v>Estimation intelligente quantité &amp; valeur</v>
      </c>
      <c r="D25" s="7" t="s">
        <v>102</v>
      </c>
      <c r="E25" s="7" t="s">
        <v>191</v>
      </c>
      <c r="F25" s="7" t="s">
        <v>192</v>
      </c>
      <c r="G25" s="9" t="s">
        <v>39</v>
      </c>
      <c r="H25" s="9" t="n">
        <v>3</v>
      </c>
      <c r="I25" s="9" t="s">
        <v>40</v>
      </c>
      <c r="J25" s="6" t="s">
        <v>189</v>
      </c>
      <c r="K25" s="9" t="s">
        <v>120</v>
      </c>
    </row>
    <row r="26" customFormat="false" ht="23.85" hidden="false" customHeight="false" outlineLevel="0" collapsed="false">
      <c r="A26" s="6" t="s">
        <v>193</v>
      </c>
      <c r="B26" s="6" t="s">
        <v>47</v>
      </c>
      <c r="C26" s="7" t="str">
        <f aca="false">INDEX(Epics!$B$2:$B$15,MATCH(B26,Epics!$A$2:$A$15,0))</f>
        <v>Estimation intelligente quantité &amp; valeur</v>
      </c>
      <c r="D26" s="7" t="s">
        <v>102</v>
      </c>
      <c r="E26" s="7" t="s">
        <v>194</v>
      </c>
      <c r="F26" s="7" t="s">
        <v>195</v>
      </c>
      <c r="G26" s="9" t="s">
        <v>39</v>
      </c>
      <c r="H26" s="9" t="n">
        <v>5</v>
      </c>
      <c r="I26" s="9" t="s">
        <v>40</v>
      </c>
      <c r="J26" s="6" t="s">
        <v>189</v>
      </c>
      <c r="K26" s="9" t="s">
        <v>120</v>
      </c>
    </row>
    <row r="27" customFormat="false" ht="23.85" hidden="false" customHeight="false" outlineLevel="0" collapsed="false">
      <c r="A27" s="6" t="s">
        <v>196</v>
      </c>
      <c r="B27" s="6" t="s">
        <v>47</v>
      </c>
      <c r="C27" s="7" t="str">
        <f aca="false">INDEX(Epics!$B$2:$B$15,MATCH(B27,Epics!$A$2:$A$15,0))</f>
        <v>Estimation intelligente quantité &amp; valeur</v>
      </c>
      <c r="D27" s="7" t="s">
        <v>102</v>
      </c>
      <c r="E27" s="7" t="s">
        <v>197</v>
      </c>
      <c r="F27" s="7" t="s">
        <v>198</v>
      </c>
      <c r="G27" s="9" t="s">
        <v>66</v>
      </c>
      <c r="H27" s="9" t="n">
        <v>3</v>
      </c>
      <c r="I27" s="9" t="s">
        <v>40</v>
      </c>
      <c r="J27" s="6" t="s">
        <v>189</v>
      </c>
      <c r="K27" s="9" t="s">
        <v>120</v>
      </c>
    </row>
    <row r="28" customFormat="false" ht="23.85" hidden="false" customHeight="false" outlineLevel="0" collapsed="false">
      <c r="A28" s="6" t="s">
        <v>199</v>
      </c>
      <c r="B28" s="6" t="s">
        <v>47</v>
      </c>
      <c r="C28" s="7" t="str">
        <f aca="false">INDEX(Epics!$B$2:$B$15,MATCH(B28,Epics!$A$2:$A$15,0))</f>
        <v>Estimation intelligente quantité &amp; valeur</v>
      </c>
      <c r="D28" s="7" t="s">
        <v>97</v>
      </c>
      <c r="E28" s="7" t="s">
        <v>200</v>
      </c>
      <c r="F28" s="7" t="s">
        <v>201</v>
      </c>
      <c r="G28" s="9" t="s">
        <v>39</v>
      </c>
      <c r="H28" s="9" t="n">
        <v>3</v>
      </c>
      <c r="I28" s="9" t="s">
        <v>40</v>
      </c>
      <c r="J28" s="6" t="s">
        <v>189</v>
      </c>
      <c r="K28" s="9" t="s">
        <v>120</v>
      </c>
    </row>
    <row r="29" customFormat="false" ht="23.85" hidden="false" customHeight="false" outlineLevel="0" collapsed="false">
      <c r="A29" s="6" t="s">
        <v>202</v>
      </c>
      <c r="B29" s="6" t="s">
        <v>47</v>
      </c>
      <c r="C29" s="7" t="str">
        <f aca="false">INDEX(Epics!$B$2:$B$15,MATCH(B29,Epics!$A$2:$A$15,0))</f>
        <v>Estimation intelligente quantité &amp; valeur</v>
      </c>
      <c r="D29" s="7" t="s">
        <v>60</v>
      </c>
      <c r="E29" s="7" t="s">
        <v>203</v>
      </c>
      <c r="F29" s="7" t="s">
        <v>204</v>
      </c>
      <c r="G29" s="9" t="s">
        <v>39</v>
      </c>
      <c r="H29" s="9" t="n">
        <v>3</v>
      </c>
      <c r="I29" s="9" t="s">
        <v>40</v>
      </c>
      <c r="J29" s="6" t="s">
        <v>189</v>
      </c>
      <c r="K29" s="9" t="s">
        <v>120</v>
      </c>
    </row>
    <row r="30" customFormat="false" ht="23.85" hidden="false" customHeight="false" outlineLevel="0" collapsed="false">
      <c r="A30" s="6" t="s">
        <v>205</v>
      </c>
      <c r="B30" s="6" t="s">
        <v>47</v>
      </c>
      <c r="C30" s="7" t="str">
        <f aca="false">INDEX(Epics!$B$2:$B$15,MATCH(B30,Epics!$A$2:$A$15,0))</f>
        <v>Estimation intelligente quantité &amp; valeur</v>
      </c>
      <c r="D30" s="7" t="s">
        <v>102</v>
      </c>
      <c r="E30" s="7" t="s">
        <v>206</v>
      </c>
      <c r="F30" s="7" t="s">
        <v>207</v>
      </c>
      <c r="G30" s="9" t="s">
        <v>66</v>
      </c>
      <c r="H30" s="9" t="n">
        <v>2</v>
      </c>
      <c r="I30" s="9" t="s">
        <v>40</v>
      </c>
      <c r="J30" s="6" t="s">
        <v>189</v>
      </c>
      <c r="K30" s="9" t="s">
        <v>120</v>
      </c>
    </row>
    <row r="31" customFormat="false" ht="23.85" hidden="false" customHeight="false" outlineLevel="0" collapsed="false">
      <c r="A31" s="6" t="s">
        <v>208</v>
      </c>
      <c r="B31" s="6" t="s">
        <v>47</v>
      </c>
      <c r="C31" s="7" t="str">
        <f aca="false">INDEX(Epics!$B$2:$B$15,MATCH(B31,Epics!$A$2:$A$15,0))</f>
        <v>Estimation intelligente quantité &amp; valeur</v>
      </c>
      <c r="D31" s="7" t="s">
        <v>107</v>
      </c>
      <c r="E31" s="7" t="s">
        <v>209</v>
      </c>
      <c r="F31" s="7" t="s">
        <v>210</v>
      </c>
      <c r="G31" s="9" t="s">
        <v>145</v>
      </c>
      <c r="H31" s="9" t="n">
        <v>8</v>
      </c>
      <c r="I31" s="9" t="s">
        <v>87</v>
      </c>
      <c r="J31" s="6" t="s">
        <v>189</v>
      </c>
      <c r="K31" s="9" t="s">
        <v>120</v>
      </c>
    </row>
    <row r="32" customFormat="false" ht="23.85" hidden="false" customHeight="false" outlineLevel="0" collapsed="false">
      <c r="A32" s="6" t="s">
        <v>211</v>
      </c>
      <c r="B32" s="6" t="s">
        <v>52</v>
      </c>
      <c r="C32" s="7" t="str">
        <f aca="false">INDEX(Epics!$B$2:$B$15,MATCH(B32,Epics!$A$2:$A$15,0))</f>
        <v>Demande de collecte</v>
      </c>
      <c r="D32" s="7" t="s">
        <v>102</v>
      </c>
      <c r="E32" s="7" t="s">
        <v>212</v>
      </c>
      <c r="F32" s="7" t="s">
        <v>213</v>
      </c>
      <c r="G32" s="9" t="s">
        <v>39</v>
      </c>
      <c r="H32" s="9" t="n">
        <v>5</v>
      </c>
      <c r="I32" s="9" t="s">
        <v>40</v>
      </c>
      <c r="J32" s="6" t="s">
        <v>119</v>
      </c>
      <c r="K32" s="9" t="s">
        <v>120</v>
      </c>
    </row>
    <row r="33" customFormat="false" ht="23.85" hidden="false" customHeight="false" outlineLevel="0" collapsed="false">
      <c r="A33" s="6" t="s">
        <v>214</v>
      </c>
      <c r="B33" s="6" t="s">
        <v>52</v>
      </c>
      <c r="C33" s="7" t="str">
        <f aca="false">INDEX(Epics!$B$2:$B$15,MATCH(B33,Epics!$A$2:$A$15,0))</f>
        <v>Demande de collecte</v>
      </c>
      <c r="D33" s="7" t="s">
        <v>102</v>
      </c>
      <c r="E33" s="7" t="s">
        <v>215</v>
      </c>
      <c r="F33" s="7" t="s">
        <v>216</v>
      </c>
      <c r="G33" s="9" t="s">
        <v>39</v>
      </c>
      <c r="H33" s="9" t="n">
        <v>3</v>
      </c>
      <c r="I33" s="9" t="s">
        <v>40</v>
      </c>
      <c r="J33" s="6" t="s">
        <v>119</v>
      </c>
      <c r="K33" s="9" t="s">
        <v>120</v>
      </c>
    </row>
    <row r="34" customFormat="false" ht="23.85" hidden="false" customHeight="false" outlineLevel="0" collapsed="false">
      <c r="A34" s="6" t="s">
        <v>217</v>
      </c>
      <c r="B34" s="6" t="s">
        <v>52</v>
      </c>
      <c r="C34" s="7" t="str">
        <f aca="false">INDEX(Epics!$B$2:$B$15,MATCH(B34,Epics!$A$2:$A$15,0))</f>
        <v>Demande de collecte</v>
      </c>
      <c r="D34" s="7" t="s">
        <v>102</v>
      </c>
      <c r="E34" s="7" t="s">
        <v>218</v>
      </c>
      <c r="F34" s="7" t="s">
        <v>219</v>
      </c>
      <c r="G34" s="9" t="s">
        <v>66</v>
      </c>
      <c r="H34" s="9" t="n">
        <v>2</v>
      </c>
      <c r="I34" s="9" t="s">
        <v>40</v>
      </c>
      <c r="J34" s="6" t="s">
        <v>119</v>
      </c>
      <c r="K34" s="9" t="s">
        <v>120</v>
      </c>
    </row>
    <row r="35" customFormat="false" ht="23.85" hidden="false" customHeight="false" outlineLevel="0" collapsed="false">
      <c r="A35" s="6" t="s">
        <v>220</v>
      </c>
      <c r="B35" s="6" t="s">
        <v>52</v>
      </c>
      <c r="C35" s="7" t="str">
        <f aca="false">INDEX(Epics!$B$2:$B$15,MATCH(B35,Epics!$A$2:$A$15,0))</f>
        <v>Demande de collecte</v>
      </c>
      <c r="D35" s="7" t="s">
        <v>107</v>
      </c>
      <c r="E35" s="7" t="s">
        <v>221</v>
      </c>
      <c r="F35" s="7" t="s">
        <v>222</v>
      </c>
      <c r="G35" s="9" t="s">
        <v>39</v>
      </c>
      <c r="H35" s="9" t="n">
        <v>8</v>
      </c>
      <c r="I35" s="9" t="s">
        <v>40</v>
      </c>
      <c r="J35" s="6" t="s">
        <v>223</v>
      </c>
      <c r="K35" s="9" t="s">
        <v>120</v>
      </c>
    </row>
    <row r="36" customFormat="false" ht="23.85" hidden="false" customHeight="false" outlineLevel="0" collapsed="false">
      <c r="A36" s="6" t="s">
        <v>224</v>
      </c>
      <c r="B36" s="6" t="s">
        <v>52</v>
      </c>
      <c r="C36" s="7" t="str">
        <f aca="false">INDEX(Epics!$B$2:$B$15,MATCH(B36,Epics!$A$2:$A$15,0))</f>
        <v>Demande de collecte</v>
      </c>
      <c r="D36" s="7" t="s">
        <v>102</v>
      </c>
      <c r="E36" s="7" t="s">
        <v>225</v>
      </c>
      <c r="F36" s="7" t="s">
        <v>226</v>
      </c>
      <c r="G36" s="9" t="s">
        <v>39</v>
      </c>
      <c r="H36" s="9" t="n">
        <v>3</v>
      </c>
      <c r="I36" s="9" t="s">
        <v>40</v>
      </c>
      <c r="J36" s="6" t="s">
        <v>119</v>
      </c>
      <c r="K36" s="9" t="s">
        <v>120</v>
      </c>
    </row>
    <row r="37" customFormat="false" ht="23.85" hidden="false" customHeight="false" outlineLevel="0" collapsed="false">
      <c r="A37" s="6" t="s">
        <v>227</v>
      </c>
      <c r="B37" s="6" t="s">
        <v>52</v>
      </c>
      <c r="C37" s="7" t="str">
        <f aca="false">INDEX(Epics!$B$2:$B$15,MATCH(B37,Epics!$A$2:$A$15,0))</f>
        <v>Demande de collecte</v>
      </c>
      <c r="D37" s="7" t="s">
        <v>102</v>
      </c>
      <c r="E37" s="7" t="s">
        <v>228</v>
      </c>
      <c r="F37" s="7" t="s">
        <v>229</v>
      </c>
      <c r="G37" s="9" t="s">
        <v>66</v>
      </c>
      <c r="H37" s="9" t="n">
        <v>3</v>
      </c>
      <c r="I37" s="9" t="s">
        <v>67</v>
      </c>
      <c r="J37" s="6" t="s">
        <v>119</v>
      </c>
      <c r="K37" s="9" t="s">
        <v>120</v>
      </c>
    </row>
    <row r="38" customFormat="false" ht="23.85" hidden="false" customHeight="false" outlineLevel="0" collapsed="false">
      <c r="A38" s="6" t="s">
        <v>230</v>
      </c>
      <c r="B38" s="6" t="s">
        <v>52</v>
      </c>
      <c r="C38" s="7" t="str">
        <f aca="false">INDEX(Epics!$B$2:$B$15,MATCH(B38,Epics!$A$2:$A$15,0))</f>
        <v>Demande de collecte</v>
      </c>
      <c r="D38" s="7" t="s">
        <v>102</v>
      </c>
      <c r="E38" s="7" t="s">
        <v>231</v>
      </c>
      <c r="F38" s="7" t="s">
        <v>232</v>
      </c>
      <c r="G38" s="9" t="s">
        <v>145</v>
      </c>
      <c r="H38" s="9" t="n">
        <v>5</v>
      </c>
      <c r="I38" s="9" t="s">
        <v>87</v>
      </c>
      <c r="J38" s="6" t="s">
        <v>119</v>
      </c>
      <c r="K38" s="9" t="s">
        <v>120</v>
      </c>
    </row>
    <row r="39" customFormat="false" ht="23.85" hidden="false" customHeight="false" outlineLevel="0" collapsed="false">
      <c r="A39" s="6" t="s">
        <v>233</v>
      </c>
      <c r="B39" s="6" t="s">
        <v>52</v>
      </c>
      <c r="C39" s="7" t="str">
        <f aca="false">INDEX(Epics!$B$2:$B$15,MATCH(B39,Epics!$A$2:$A$15,0))</f>
        <v>Demande de collecte</v>
      </c>
      <c r="D39" s="7" t="s">
        <v>102</v>
      </c>
      <c r="E39" s="7" t="s">
        <v>234</v>
      </c>
      <c r="F39" s="7" t="s">
        <v>235</v>
      </c>
      <c r="G39" s="9" t="s">
        <v>39</v>
      </c>
      <c r="H39" s="9" t="n">
        <v>3</v>
      </c>
      <c r="I39" s="9" t="s">
        <v>40</v>
      </c>
      <c r="J39" s="6" t="s">
        <v>119</v>
      </c>
      <c r="K39" s="9" t="s">
        <v>120</v>
      </c>
    </row>
    <row r="40" customFormat="false" ht="23.85" hidden="false" customHeight="false" outlineLevel="0" collapsed="false">
      <c r="A40" s="6" t="s">
        <v>236</v>
      </c>
      <c r="B40" s="6" t="s">
        <v>52</v>
      </c>
      <c r="C40" s="7" t="str">
        <f aca="false">INDEX(Epics!$B$2:$B$15,MATCH(B40,Epics!$A$2:$A$15,0))</f>
        <v>Demande de collecte</v>
      </c>
      <c r="D40" s="7" t="s">
        <v>102</v>
      </c>
      <c r="E40" s="7" t="s">
        <v>237</v>
      </c>
      <c r="F40" s="7" t="s">
        <v>238</v>
      </c>
      <c r="G40" s="9" t="s">
        <v>66</v>
      </c>
      <c r="H40" s="9" t="n">
        <v>3</v>
      </c>
      <c r="I40" s="9" t="s">
        <v>67</v>
      </c>
      <c r="J40" s="6" t="s">
        <v>119</v>
      </c>
      <c r="K40" s="9" t="s">
        <v>120</v>
      </c>
    </row>
    <row r="41" customFormat="false" ht="23.85" hidden="false" customHeight="false" outlineLevel="0" collapsed="false">
      <c r="A41" s="6" t="s">
        <v>239</v>
      </c>
      <c r="B41" s="6" t="s">
        <v>52</v>
      </c>
      <c r="C41" s="7" t="str">
        <f aca="false">INDEX(Epics!$B$2:$B$15,MATCH(B41,Epics!$A$2:$A$15,0))</f>
        <v>Demande de collecte</v>
      </c>
      <c r="D41" s="7" t="s">
        <v>102</v>
      </c>
      <c r="E41" s="7" t="s">
        <v>240</v>
      </c>
      <c r="F41" s="7" t="s">
        <v>241</v>
      </c>
      <c r="G41" s="9" t="s">
        <v>66</v>
      </c>
      <c r="H41" s="9" t="n">
        <v>2</v>
      </c>
      <c r="I41" s="9" t="s">
        <v>67</v>
      </c>
      <c r="J41" s="6" t="s">
        <v>119</v>
      </c>
      <c r="K41" s="9" t="s">
        <v>120</v>
      </c>
    </row>
    <row r="42" customFormat="false" ht="23.85" hidden="false" customHeight="false" outlineLevel="0" collapsed="false">
      <c r="A42" s="6" t="s">
        <v>242</v>
      </c>
      <c r="B42" s="6" t="s">
        <v>52</v>
      </c>
      <c r="C42" s="7" t="str">
        <f aca="false">INDEX(Epics!$B$2:$B$15,MATCH(B42,Epics!$A$2:$A$15,0))</f>
        <v>Demande de collecte</v>
      </c>
      <c r="D42" s="7" t="s">
        <v>102</v>
      </c>
      <c r="E42" s="7" t="s">
        <v>243</v>
      </c>
      <c r="F42" s="7" t="s">
        <v>244</v>
      </c>
      <c r="G42" s="9" t="s">
        <v>66</v>
      </c>
      <c r="H42" s="9" t="n">
        <v>3</v>
      </c>
      <c r="I42" s="9" t="s">
        <v>67</v>
      </c>
      <c r="J42" s="6" t="s">
        <v>119</v>
      </c>
      <c r="K42" s="9" t="s">
        <v>120</v>
      </c>
    </row>
    <row r="43" customFormat="false" ht="23.85" hidden="false" customHeight="false" outlineLevel="0" collapsed="false">
      <c r="A43" s="6" t="s">
        <v>245</v>
      </c>
      <c r="B43" s="6" t="s">
        <v>57</v>
      </c>
      <c r="C43" s="7" t="str">
        <f aca="false">INDEX(Epics!$B$2:$B$15,MATCH(B43,Epics!$A$2:$A$15,0))</f>
        <v>Espace collecteur &amp; missions</v>
      </c>
      <c r="D43" s="7" t="s">
        <v>60</v>
      </c>
      <c r="E43" s="7" t="s">
        <v>246</v>
      </c>
      <c r="F43" s="7" t="s">
        <v>247</v>
      </c>
      <c r="G43" s="9" t="s">
        <v>39</v>
      </c>
      <c r="H43" s="9" t="n">
        <v>3</v>
      </c>
      <c r="I43" s="9" t="s">
        <v>40</v>
      </c>
      <c r="J43" s="6" t="s">
        <v>119</v>
      </c>
      <c r="K43" s="9" t="s">
        <v>120</v>
      </c>
    </row>
    <row r="44" customFormat="false" ht="23.85" hidden="false" customHeight="false" outlineLevel="0" collapsed="false">
      <c r="A44" s="6" t="s">
        <v>248</v>
      </c>
      <c r="B44" s="6" t="s">
        <v>57</v>
      </c>
      <c r="C44" s="7" t="str">
        <f aca="false">INDEX(Epics!$B$2:$B$15,MATCH(B44,Epics!$A$2:$A$15,0))</f>
        <v>Espace collecteur &amp; missions</v>
      </c>
      <c r="D44" s="7" t="s">
        <v>60</v>
      </c>
      <c r="E44" s="7" t="s">
        <v>249</v>
      </c>
      <c r="F44" s="7" t="s">
        <v>250</v>
      </c>
      <c r="G44" s="9" t="s">
        <v>39</v>
      </c>
      <c r="H44" s="9" t="n">
        <v>5</v>
      </c>
      <c r="I44" s="9" t="s">
        <v>40</v>
      </c>
      <c r="J44" s="6" t="s">
        <v>119</v>
      </c>
      <c r="K44" s="9" t="s">
        <v>120</v>
      </c>
    </row>
    <row r="45" customFormat="false" ht="23.85" hidden="false" customHeight="false" outlineLevel="0" collapsed="false">
      <c r="A45" s="6" t="s">
        <v>251</v>
      </c>
      <c r="B45" s="6" t="s">
        <v>57</v>
      </c>
      <c r="C45" s="7" t="str">
        <f aca="false">INDEX(Epics!$B$2:$B$15,MATCH(B45,Epics!$A$2:$A$15,0))</f>
        <v>Espace collecteur &amp; missions</v>
      </c>
      <c r="D45" s="7" t="s">
        <v>60</v>
      </c>
      <c r="E45" s="7" t="s">
        <v>252</v>
      </c>
      <c r="F45" s="7" t="s">
        <v>253</v>
      </c>
      <c r="G45" s="9" t="s">
        <v>39</v>
      </c>
      <c r="H45" s="9" t="n">
        <v>3</v>
      </c>
      <c r="I45" s="9" t="s">
        <v>40</v>
      </c>
      <c r="J45" s="6" t="s">
        <v>119</v>
      </c>
      <c r="K45" s="9" t="s">
        <v>120</v>
      </c>
    </row>
    <row r="46" customFormat="false" ht="23.85" hidden="false" customHeight="false" outlineLevel="0" collapsed="false">
      <c r="A46" s="6" t="s">
        <v>254</v>
      </c>
      <c r="B46" s="6" t="s">
        <v>57</v>
      </c>
      <c r="C46" s="7" t="str">
        <f aca="false">INDEX(Epics!$B$2:$B$15,MATCH(B46,Epics!$A$2:$A$15,0))</f>
        <v>Espace collecteur &amp; missions</v>
      </c>
      <c r="D46" s="7" t="s">
        <v>60</v>
      </c>
      <c r="E46" s="7" t="s">
        <v>255</v>
      </c>
      <c r="F46" s="7" t="s">
        <v>256</v>
      </c>
      <c r="G46" s="9" t="s">
        <v>39</v>
      </c>
      <c r="H46" s="9" t="n">
        <v>3</v>
      </c>
      <c r="I46" s="9" t="s">
        <v>40</v>
      </c>
      <c r="J46" s="6" t="s">
        <v>119</v>
      </c>
      <c r="K46" s="9" t="s">
        <v>120</v>
      </c>
    </row>
    <row r="47" customFormat="false" ht="23.85" hidden="false" customHeight="false" outlineLevel="0" collapsed="false">
      <c r="A47" s="6" t="s">
        <v>257</v>
      </c>
      <c r="B47" s="6" t="s">
        <v>57</v>
      </c>
      <c r="C47" s="7" t="str">
        <f aca="false">INDEX(Epics!$B$2:$B$15,MATCH(B47,Epics!$A$2:$A$15,0))</f>
        <v>Espace collecteur &amp; missions</v>
      </c>
      <c r="D47" s="7" t="s">
        <v>60</v>
      </c>
      <c r="E47" s="7" t="s">
        <v>258</v>
      </c>
      <c r="F47" s="7" t="s">
        <v>259</v>
      </c>
      <c r="G47" s="9" t="s">
        <v>39</v>
      </c>
      <c r="H47" s="9" t="n">
        <v>3</v>
      </c>
      <c r="I47" s="9" t="s">
        <v>40</v>
      </c>
      <c r="J47" s="6" t="s">
        <v>119</v>
      </c>
      <c r="K47" s="9" t="s">
        <v>120</v>
      </c>
    </row>
    <row r="48" customFormat="false" ht="23.85" hidden="false" customHeight="false" outlineLevel="0" collapsed="false">
      <c r="A48" s="6" t="s">
        <v>260</v>
      </c>
      <c r="B48" s="6" t="s">
        <v>57</v>
      </c>
      <c r="C48" s="7" t="str">
        <f aca="false">INDEX(Epics!$B$2:$B$15,MATCH(B48,Epics!$A$2:$A$15,0))</f>
        <v>Espace collecteur &amp; missions</v>
      </c>
      <c r="D48" s="7" t="s">
        <v>60</v>
      </c>
      <c r="E48" s="7" t="s">
        <v>261</v>
      </c>
      <c r="F48" s="7" t="s">
        <v>262</v>
      </c>
      <c r="G48" s="9" t="s">
        <v>39</v>
      </c>
      <c r="H48" s="9" t="n">
        <v>2</v>
      </c>
      <c r="I48" s="9" t="s">
        <v>40</v>
      </c>
      <c r="J48" s="6" t="s">
        <v>119</v>
      </c>
      <c r="K48" s="9" t="s">
        <v>120</v>
      </c>
    </row>
    <row r="49" customFormat="false" ht="23.85" hidden="false" customHeight="false" outlineLevel="0" collapsed="false">
      <c r="A49" s="6" t="s">
        <v>263</v>
      </c>
      <c r="B49" s="6" t="s">
        <v>57</v>
      </c>
      <c r="C49" s="7" t="str">
        <f aca="false">INDEX(Epics!$B$2:$B$15,MATCH(B49,Epics!$A$2:$A$15,0))</f>
        <v>Espace collecteur &amp; missions</v>
      </c>
      <c r="D49" s="7" t="s">
        <v>60</v>
      </c>
      <c r="E49" s="7" t="s">
        <v>264</v>
      </c>
      <c r="F49" s="7" t="s">
        <v>265</v>
      </c>
      <c r="G49" s="9" t="s">
        <v>66</v>
      </c>
      <c r="H49" s="9" t="n">
        <v>2</v>
      </c>
      <c r="I49" s="9" t="s">
        <v>40</v>
      </c>
      <c r="J49" s="6" t="s">
        <v>119</v>
      </c>
      <c r="K49" s="9" t="s">
        <v>120</v>
      </c>
    </row>
    <row r="50" customFormat="false" ht="23.85" hidden="false" customHeight="false" outlineLevel="0" collapsed="false">
      <c r="A50" s="6" t="s">
        <v>266</v>
      </c>
      <c r="B50" s="6" t="s">
        <v>57</v>
      </c>
      <c r="C50" s="7" t="str">
        <f aca="false">INDEX(Epics!$B$2:$B$15,MATCH(B50,Epics!$A$2:$A$15,0))</f>
        <v>Espace collecteur &amp; missions</v>
      </c>
      <c r="D50" s="7" t="s">
        <v>60</v>
      </c>
      <c r="E50" s="7" t="s">
        <v>267</v>
      </c>
      <c r="F50" s="7" t="s">
        <v>268</v>
      </c>
      <c r="G50" s="9" t="s">
        <v>145</v>
      </c>
      <c r="H50" s="9" t="n">
        <v>8</v>
      </c>
      <c r="I50" s="9" t="s">
        <v>87</v>
      </c>
      <c r="J50" s="6" t="s">
        <v>119</v>
      </c>
      <c r="K50" s="9" t="s">
        <v>120</v>
      </c>
    </row>
    <row r="51" customFormat="false" ht="23.85" hidden="false" customHeight="false" outlineLevel="0" collapsed="false">
      <c r="A51" s="6" t="s">
        <v>269</v>
      </c>
      <c r="B51" s="6" t="s">
        <v>57</v>
      </c>
      <c r="C51" s="7" t="str">
        <f aca="false">INDEX(Epics!$B$2:$B$15,MATCH(B51,Epics!$A$2:$A$15,0))</f>
        <v>Espace collecteur &amp; missions</v>
      </c>
      <c r="D51" s="7" t="s">
        <v>60</v>
      </c>
      <c r="E51" s="7" t="s">
        <v>270</v>
      </c>
      <c r="F51" s="7" t="s">
        <v>271</v>
      </c>
      <c r="G51" s="9" t="s">
        <v>39</v>
      </c>
      <c r="H51" s="9" t="n">
        <v>3</v>
      </c>
      <c r="I51" s="9" t="s">
        <v>40</v>
      </c>
      <c r="J51" s="6" t="s">
        <v>119</v>
      </c>
      <c r="K51" s="9" t="s">
        <v>120</v>
      </c>
    </row>
    <row r="52" customFormat="false" ht="23.85" hidden="false" customHeight="false" outlineLevel="0" collapsed="false">
      <c r="A52" s="6" t="s">
        <v>272</v>
      </c>
      <c r="B52" s="6" t="s">
        <v>57</v>
      </c>
      <c r="C52" s="7" t="str">
        <f aca="false">INDEX(Epics!$B$2:$B$15,MATCH(B52,Epics!$A$2:$A$15,0))</f>
        <v>Espace collecteur &amp; missions</v>
      </c>
      <c r="D52" s="7" t="s">
        <v>60</v>
      </c>
      <c r="E52" s="7" t="s">
        <v>273</v>
      </c>
      <c r="F52" s="7" t="s">
        <v>274</v>
      </c>
      <c r="G52" s="9" t="s">
        <v>39</v>
      </c>
      <c r="H52" s="9" t="n">
        <v>5</v>
      </c>
      <c r="I52" s="9" t="s">
        <v>40</v>
      </c>
      <c r="J52" s="6" t="s">
        <v>119</v>
      </c>
      <c r="K52" s="9" t="s">
        <v>120</v>
      </c>
    </row>
    <row r="53" customFormat="false" ht="23.85" hidden="false" customHeight="false" outlineLevel="0" collapsed="false">
      <c r="A53" s="6" t="s">
        <v>275</v>
      </c>
      <c r="B53" s="6" t="s">
        <v>57</v>
      </c>
      <c r="C53" s="7" t="str">
        <f aca="false">INDEX(Epics!$B$2:$B$15,MATCH(B53,Epics!$A$2:$A$15,0))</f>
        <v>Espace collecteur &amp; missions</v>
      </c>
      <c r="D53" s="7" t="s">
        <v>60</v>
      </c>
      <c r="E53" s="7" t="s">
        <v>276</v>
      </c>
      <c r="F53" s="7" t="s">
        <v>277</v>
      </c>
      <c r="G53" s="9" t="s">
        <v>66</v>
      </c>
      <c r="H53" s="9" t="n">
        <v>5</v>
      </c>
      <c r="I53" s="9" t="s">
        <v>67</v>
      </c>
      <c r="J53" s="6" t="s">
        <v>119</v>
      </c>
      <c r="K53" s="9" t="s">
        <v>120</v>
      </c>
    </row>
    <row r="54" customFormat="false" ht="23.85" hidden="false" customHeight="false" outlineLevel="0" collapsed="false">
      <c r="A54" s="6" t="s">
        <v>278</v>
      </c>
      <c r="B54" s="6" t="s">
        <v>57</v>
      </c>
      <c r="C54" s="7" t="str">
        <f aca="false">INDEX(Epics!$B$2:$B$15,MATCH(B54,Epics!$A$2:$A$15,0))</f>
        <v>Espace collecteur &amp; missions</v>
      </c>
      <c r="D54" s="7" t="s">
        <v>60</v>
      </c>
      <c r="E54" s="7" t="s">
        <v>279</v>
      </c>
      <c r="F54" s="7" t="s">
        <v>280</v>
      </c>
      <c r="G54" s="9" t="s">
        <v>66</v>
      </c>
      <c r="H54" s="9" t="n">
        <v>2</v>
      </c>
      <c r="I54" s="9" t="s">
        <v>67</v>
      </c>
      <c r="J54" s="6" t="s">
        <v>119</v>
      </c>
      <c r="K54" s="9" t="s">
        <v>120</v>
      </c>
    </row>
    <row r="55" customFormat="false" ht="23.85" hidden="false" customHeight="false" outlineLevel="0" collapsed="false">
      <c r="A55" s="6" t="s">
        <v>281</v>
      </c>
      <c r="B55" s="6" t="s">
        <v>57</v>
      </c>
      <c r="C55" s="7" t="str">
        <f aca="false">INDEX(Epics!$B$2:$B$15,MATCH(B55,Epics!$A$2:$A$15,0))</f>
        <v>Espace collecteur &amp; missions</v>
      </c>
      <c r="D55" s="7" t="s">
        <v>60</v>
      </c>
      <c r="E55" s="7" t="s">
        <v>282</v>
      </c>
      <c r="F55" s="7" t="s">
        <v>283</v>
      </c>
      <c r="G55" s="9" t="s">
        <v>66</v>
      </c>
      <c r="H55" s="9" t="n">
        <v>2</v>
      </c>
      <c r="I55" s="9" t="s">
        <v>67</v>
      </c>
      <c r="J55" s="6" t="s">
        <v>119</v>
      </c>
      <c r="K55" s="9" t="s">
        <v>120</v>
      </c>
    </row>
    <row r="56" customFormat="false" ht="23.85" hidden="false" customHeight="false" outlineLevel="0" collapsed="false">
      <c r="A56" s="6" t="s">
        <v>284</v>
      </c>
      <c r="B56" s="6" t="s">
        <v>57</v>
      </c>
      <c r="C56" s="7" t="str">
        <f aca="false">INDEX(Epics!$B$2:$B$15,MATCH(B56,Epics!$A$2:$A$15,0))</f>
        <v>Espace collecteur &amp; missions</v>
      </c>
      <c r="D56" s="7" t="s">
        <v>60</v>
      </c>
      <c r="E56" s="7" t="s">
        <v>285</v>
      </c>
      <c r="F56" s="7" t="s">
        <v>286</v>
      </c>
      <c r="G56" s="9" t="s">
        <v>39</v>
      </c>
      <c r="H56" s="9" t="n">
        <v>5</v>
      </c>
      <c r="I56" s="9" t="s">
        <v>67</v>
      </c>
      <c r="J56" s="6" t="s">
        <v>119</v>
      </c>
      <c r="K56" s="9" t="s">
        <v>120</v>
      </c>
    </row>
    <row r="57" customFormat="false" ht="23.85" hidden="false" customHeight="false" outlineLevel="0" collapsed="false">
      <c r="A57" s="6" t="s">
        <v>287</v>
      </c>
      <c r="B57" s="6" t="s">
        <v>62</v>
      </c>
      <c r="C57" s="7" t="str">
        <f aca="false">INDEX(Epics!$B$2:$B$15,MATCH(B57,Epics!$A$2:$A$15,0))</f>
        <v>Optimisation IA des itinéraires</v>
      </c>
      <c r="D57" s="7" t="s">
        <v>107</v>
      </c>
      <c r="E57" s="7" t="s">
        <v>288</v>
      </c>
      <c r="F57" s="7" t="s">
        <v>289</v>
      </c>
      <c r="G57" s="9" t="s">
        <v>66</v>
      </c>
      <c r="H57" s="9" t="n">
        <v>8</v>
      </c>
      <c r="I57" s="9" t="s">
        <v>67</v>
      </c>
      <c r="J57" s="6" t="s">
        <v>223</v>
      </c>
      <c r="K57" s="9" t="s">
        <v>120</v>
      </c>
    </row>
    <row r="58" customFormat="false" ht="23.85" hidden="false" customHeight="false" outlineLevel="0" collapsed="false">
      <c r="A58" s="6" t="s">
        <v>290</v>
      </c>
      <c r="B58" s="6" t="s">
        <v>62</v>
      </c>
      <c r="C58" s="7" t="str">
        <f aca="false">INDEX(Epics!$B$2:$B$15,MATCH(B58,Epics!$A$2:$A$15,0))</f>
        <v>Optimisation IA des itinéraires</v>
      </c>
      <c r="D58" s="7" t="s">
        <v>60</v>
      </c>
      <c r="E58" s="7" t="s">
        <v>291</v>
      </c>
      <c r="F58" s="7" t="s">
        <v>292</v>
      </c>
      <c r="G58" s="9" t="s">
        <v>66</v>
      </c>
      <c r="H58" s="9" t="n">
        <v>13</v>
      </c>
      <c r="I58" s="9" t="s">
        <v>67</v>
      </c>
      <c r="J58" s="6" t="s">
        <v>223</v>
      </c>
      <c r="K58" s="9" t="s">
        <v>120</v>
      </c>
    </row>
    <row r="59" customFormat="false" ht="23.85" hidden="false" customHeight="false" outlineLevel="0" collapsed="false">
      <c r="A59" s="6" t="s">
        <v>293</v>
      </c>
      <c r="B59" s="6" t="s">
        <v>62</v>
      </c>
      <c r="C59" s="7" t="str">
        <f aca="false">INDEX(Epics!$B$2:$B$15,MATCH(B59,Epics!$A$2:$A$15,0))</f>
        <v>Optimisation IA des itinéraires</v>
      </c>
      <c r="D59" s="7" t="s">
        <v>107</v>
      </c>
      <c r="E59" s="7" t="s">
        <v>294</v>
      </c>
      <c r="F59" s="7" t="s">
        <v>295</v>
      </c>
      <c r="G59" s="9" t="s">
        <v>66</v>
      </c>
      <c r="H59" s="9" t="n">
        <v>8</v>
      </c>
      <c r="I59" s="9" t="s">
        <v>67</v>
      </c>
      <c r="J59" s="6" t="s">
        <v>223</v>
      </c>
      <c r="K59" s="9" t="s">
        <v>120</v>
      </c>
    </row>
    <row r="60" customFormat="false" ht="23.85" hidden="false" customHeight="false" outlineLevel="0" collapsed="false">
      <c r="A60" s="6" t="s">
        <v>296</v>
      </c>
      <c r="B60" s="6" t="s">
        <v>62</v>
      </c>
      <c r="C60" s="7" t="str">
        <f aca="false">INDEX(Epics!$B$2:$B$15,MATCH(B60,Epics!$A$2:$A$15,0))</f>
        <v>Optimisation IA des itinéraires</v>
      </c>
      <c r="D60" s="7" t="s">
        <v>107</v>
      </c>
      <c r="E60" s="7" t="s">
        <v>297</v>
      </c>
      <c r="F60" s="7" t="s">
        <v>298</v>
      </c>
      <c r="G60" s="9" t="s">
        <v>145</v>
      </c>
      <c r="H60" s="9" t="n">
        <v>8</v>
      </c>
      <c r="I60" s="9" t="s">
        <v>87</v>
      </c>
      <c r="J60" s="6" t="s">
        <v>223</v>
      </c>
      <c r="K60" s="9" t="s">
        <v>120</v>
      </c>
    </row>
    <row r="61" customFormat="false" ht="23.85" hidden="false" customHeight="false" outlineLevel="0" collapsed="false">
      <c r="A61" s="6" t="s">
        <v>299</v>
      </c>
      <c r="B61" s="6" t="s">
        <v>62</v>
      </c>
      <c r="C61" s="7" t="str">
        <f aca="false">INDEX(Epics!$B$2:$B$15,MATCH(B61,Epics!$A$2:$A$15,0))</f>
        <v>Optimisation IA des itinéraires</v>
      </c>
      <c r="D61" s="7" t="s">
        <v>60</v>
      </c>
      <c r="E61" s="7" t="s">
        <v>300</v>
      </c>
      <c r="F61" s="7" t="s">
        <v>301</v>
      </c>
      <c r="G61" s="9" t="s">
        <v>145</v>
      </c>
      <c r="H61" s="9" t="n">
        <v>3</v>
      </c>
      <c r="I61" s="9" t="s">
        <v>87</v>
      </c>
      <c r="J61" s="6" t="s">
        <v>223</v>
      </c>
      <c r="K61" s="9" t="s">
        <v>120</v>
      </c>
    </row>
    <row r="62" customFormat="false" ht="23.85" hidden="false" customHeight="false" outlineLevel="0" collapsed="false">
      <c r="A62" s="6" t="s">
        <v>302</v>
      </c>
      <c r="B62" s="6" t="s">
        <v>62</v>
      </c>
      <c r="C62" s="7" t="str">
        <f aca="false">INDEX(Epics!$B$2:$B$15,MATCH(B62,Epics!$A$2:$A$15,0))</f>
        <v>Optimisation IA des itinéraires</v>
      </c>
      <c r="D62" s="7" t="s">
        <v>107</v>
      </c>
      <c r="E62" s="7" t="s">
        <v>303</v>
      </c>
      <c r="F62" s="7" t="s">
        <v>304</v>
      </c>
      <c r="G62" s="9" t="s">
        <v>145</v>
      </c>
      <c r="H62" s="9" t="n">
        <v>5</v>
      </c>
      <c r="I62" s="9" t="s">
        <v>87</v>
      </c>
      <c r="J62" s="6" t="s">
        <v>223</v>
      </c>
      <c r="K62" s="9" t="s">
        <v>120</v>
      </c>
    </row>
    <row r="63" customFormat="false" ht="23.85" hidden="false" customHeight="false" outlineLevel="0" collapsed="false">
      <c r="A63" s="6" t="s">
        <v>305</v>
      </c>
      <c r="B63" s="6" t="s">
        <v>62</v>
      </c>
      <c r="C63" s="7" t="str">
        <f aca="false">INDEX(Epics!$B$2:$B$15,MATCH(B63,Epics!$A$2:$A$15,0))</f>
        <v>Optimisation IA des itinéraires</v>
      </c>
      <c r="D63" s="7" t="s">
        <v>97</v>
      </c>
      <c r="E63" s="7" t="s">
        <v>306</v>
      </c>
      <c r="F63" s="7" t="s">
        <v>307</v>
      </c>
      <c r="G63" s="9" t="s">
        <v>145</v>
      </c>
      <c r="H63" s="9" t="n">
        <v>3</v>
      </c>
      <c r="I63" s="9" t="s">
        <v>87</v>
      </c>
      <c r="J63" s="6" t="s">
        <v>223</v>
      </c>
      <c r="K63" s="9" t="s">
        <v>120</v>
      </c>
    </row>
    <row r="64" customFormat="false" ht="23.85" hidden="false" customHeight="false" outlineLevel="0" collapsed="false">
      <c r="A64" s="6" t="s">
        <v>308</v>
      </c>
      <c r="B64" s="6" t="s">
        <v>69</v>
      </c>
      <c r="C64" s="7" t="str">
        <f aca="false">INDEX(Epics!$B$2:$B$15,MATCH(B64,Epics!$A$2:$A$15,0))</f>
        <v>Suivi temps réel &amp; notifications</v>
      </c>
      <c r="D64" s="7" t="s">
        <v>102</v>
      </c>
      <c r="E64" s="7" t="s">
        <v>309</v>
      </c>
      <c r="F64" s="7" t="s">
        <v>310</v>
      </c>
      <c r="G64" s="9" t="s">
        <v>39</v>
      </c>
      <c r="H64" s="9" t="n">
        <v>5</v>
      </c>
      <c r="I64" s="9" t="s">
        <v>40</v>
      </c>
      <c r="J64" s="6" t="s">
        <v>119</v>
      </c>
      <c r="K64" s="9" t="s">
        <v>120</v>
      </c>
    </row>
    <row r="65" customFormat="false" ht="15" hidden="false" customHeight="false" outlineLevel="0" collapsed="false">
      <c r="A65" s="6" t="s">
        <v>311</v>
      </c>
      <c r="B65" s="6" t="s">
        <v>69</v>
      </c>
      <c r="C65" s="7" t="str">
        <f aca="false">INDEX(Epics!$B$2:$B$15,MATCH(B65,Epics!$A$2:$A$15,0))</f>
        <v>Suivi temps réel &amp; notifications</v>
      </c>
      <c r="D65" s="7" t="s">
        <v>102</v>
      </c>
      <c r="E65" s="7" t="s">
        <v>312</v>
      </c>
      <c r="F65" s="7" t="s">
        <v>313</v>
      </c>
      <c r="G65" s="9" t="s">
        <v>66</v>
      </c>
      <c r="H65" s="9" t="n">
        <v>3</v>
      </c>
      <c r="I65" s="9" t="s">
        <v>67</v>
      </c>
      <c r="J65" s="6" t="s">
        <v>119</v>
      </c>
      <c r="K65" s="9" t="s">
        <v>120</v>
      </c>
    </row>
    <row r="66" customFormat="false" ht="23.85" hidden="false" customHeight="false" outlineLevel="0" collapsed="false">
      <c r="A66" s="6" t="s">
        <v>314</v>
      </c>
      <c r="B66" s="6" t="s">
        <v>69</v>
      </c>
      <c r="C66" s="7" t="str">
        <f aca="false">INDEX(Epics!$B$2:$B$15,MATCH(B66,Epics!$A$2:$A$15,0))</f>
        <v>Suivi temps réel &amp; notifications</v>
      </c>
      <c r="D66" s="7" t="s">
        <v>116</v>
      </c>
      <c r="E66" s="7" t="s">
        <v>315</v>
      </c>
      <c r="F66" s="7" t="s">
        <v>316</v>
      </c>
      <c r="G66" s="9" t="s">
        <v>39</v>
      </c>
      <c r="H66" s="9" t="n">
        <v>5</v>
      </c>
      <c r="I66" s="9" t="s">
        <v>40</v>
      </c>
      <c r="J66" s="6" t="s">
        <v>119</v>
      </c>
      <c r="K66" s="9" t="s">
        <v>120</v>
      </c>
    </row>
    <row r="67" customFormat="false" ht="23.85" hidden="false" customHeight="false" outlineLevel="0" collapsed="false">
      <c r="A67" s="6" t="s">
        <v>317</v>
      </c>
      <c r="B67" s="6" t="s">
        <v>69</v>
      </c>
      <c r="C67" s="7" t="str">
        <f aca="false">INDEX(Epics!$B$2:$B$15,MATCH(B67,Epics!$A$2:$A$15,0))</f>
        <v>Suivi temps réel &amp; notifications</v>
      </c>
      <c r="D67" s="7" t="s">
        <v>60</v>
      </c>
      <c r="E67" s="7" t="s">
        <v>318</v>
      </c>
      <c r="F67" s="7" t="s">
        <v>319</v>
      </c>
      <c r="G67" s="9" t="s">
        <v>39</v>
      </c>
      <c r="H67" s="9" t="n">
        <v>3</v>
      </c>
      <c r="I67" s="9" t="s">
        <v>40</v>
      </c>
      <c r="J67" s="6" t="s">
        <v>119</v>
      </c>
      <c r="K67" s="9" t="s">
        <v>120</v>
      </c>
    </row>
    <row r="68" customFormat="false" ht="23.85" hidden="false" customHeight="false" outlineLevel="0" collapsed="false">
      <c r="A68" s="6" t="s">
        <v>320</v>
      </c>
      <c r="B68" s="6" t="s">
        <v>69</v>
      </c>
      <c r="C68" s="7" t="str">
        <f aca="false">INDEX(Epics!$B$2:$B$15,MATCH(B68,Epics!$A$2:$A$15,0))</f>
        <v>Suivi temps réel &amp; notifications</v>
      </c>
      <c r="D68" s="7" t="s">
        <v>116</v>
      </c>
      <c r="E68" s="7" t="s">
        <v>321</v>
      </c>
      <c r="F68" s="7" t="s">
        <v>322</v>
      </c>
      <c r="G68" s="9" t="s">
        <v>66</v>
      </c>
      <c r="H68" s="9" t="n">
        <v>8</v>
      </c>
      <c r="I68" s="9" t="s">
        <v>67</v>
      </c>
      <c r="J68" s="6" t="s">
        <v>119</v>
      </c>
      <c r="K68" s="9" t="s">
        <v>120</v>
      </c>
    </row>
    <row r="69" customFormat="false" ht="23.85" hidden="false" customHeight="false" outlineLevel="0" collapsed="false">
      <c r="A69" s="6" t="s">
        <v>323</v>
      </c>
      <c r="B69" s="6" t="s">
        <v>69</v>
      </c>
      <c r="C69" s="7" t="str">
        <f aca="false">INDEX(Epics!$B$2:$B$15,MATCH(B69,Epics!$A$2:$A$15,0))</f>
        <v>Suivi temps réel &amp; notifications</v>
      </c>
      <c r="D69" s="7" t="s">
        <v>116</v>
      </c>
      <c r="E69" s="7" t="s">
        <v>324</v>
      </c>
      <c r="F69" s="7" t="s">
        <v>325</v>
      </c>
      <c r="G69" s="9" t="s">
        <v>145</v>
      </c>
      <c r="H69" s="9" t="n">
        <v>3</v>
      </c>
      <c r="I69" s="9" t="s">
        <v>87</v>
      </c>
      <c r="J69" s="6" t="s">
        <v>119</v>
      </c>
      <c r="K69" s="9" t="s">
        <v>120</v>
      </c>
    </row>
    <row r="70" customFormat="false" ht="23.85" hidden="false" customHeight="false" outlineLevel="0" collapsed="false">
      <c r="A70" s="6" t="s">
        <v>326</v>
      </c>
      <c r="B70" s="6" t="s">
        <v>74</v>
      </c>
      <c r="C70" s="7" t="str">
        <f aca="false">INDEX(Epics!$B$2:$B$15,MATCH(B70,Epics!$A$2:$A$15,0))</f>
        <v>Recycle Wallet &amp; EcoPoints</v>
      </c>
      <c r="D70" s="7" t="s">
        <v>102</v>
      </c>
      <c r="E70" s="7" t="s">
        <v>327</v>
      </c>
      <c r="F70" s="7" t="s">
        <v>328</v>
      </c>
      <c r="G70" s="9" t="s">
        <v>39</v>
      </c>
      <c r="H70" s="9" t="n">
        <v>5</v>
      </c>
      <c r="I70" s="9" t="s">
        <v>67</v>
      </c>
      <c r="J70" s="6" t="s">
        <v>119</v>
      </c>
      <c r="K70" s="9" t="s">
        <v>120</v>
      </c>
    </row>
    <row r="71" customFormat="false" ht="23.85" hidden="false" customHeight="false" outlineLevel="0" collapsed="false">
      <c r="A71" s="6" t="s">
        <v>329</v>
      </c>
      <c r="B71" s="6" t="s">
        <v>74</v>
      </c>
      <c r="C71" s="7" t="str">
        <f aca="false">INDEX(Epics!$B$2:$B$15,MATCH(B71,Epics!$A$2:$A$15,0))</f>
        <v>Recycle Wallet &amp; EcoPoints</v>
      </c>
      <c r="D71" s="7" t="s">
        <v>102</v>
      </c>
      <c r="E71" s="7" t="s">
        <v>330</v>
      </c>
      <c r="F71" s="7" t="s">
        <v>331</v>
      </c>
      <c r="G71" s="9" t="s">
        <v>39</v>
      </c>
      <c r="H71" s="9" t="n">
        <v>3</v>
      </c>
      <c r="I71" s="9" t="s">
        <v>67</v>
      </c>
      <c r="J71" s="6" t="s">
        <v>119</v>
      </c>
      <c r="K71" s="9" t="s">
        <v>120</v>
      </c>
    </row>
    <row r="72" customFormat="false" ht="23.85" hidden="false" customHeight="false" outlineLevel="0" collapsed="false">
      <c r="A72" s="6" t="s">
        <v>332</v>
      </c>
      <c r="B72" s="6" t="s">
        <v>74</v>
      </c>
      <c r="C72" s="7" t="str">
        <f aca="false">INDEX(Epics!$B$2:$B$15,MATCH(B72,Epics!$A$2:$A$15,0))</f>
        <v>Recycle Wallet &amp; EcoPoints</v>
      </c>
      <c r="D72" s="7" t="s">
        <v>97</v>
      </c>
      <c r="E72" s="7" t="s">
        <v>333</v>
      </c>
      <c r="F72" s="7" t="s">
        <v>334</v>
      </c>
      <c r="G72" s="9" t="s">
        <v>39</v>
      </c>
      <c r="H72" s="9" t="n">
        <v>5</v>
      </c>
      <c r="I72" s="9" t="s">
        <v>67</v>
      </c>
      <c r="J72" s="6" t="s">
        <v>119</v>
      </c>
      <c r="K72" s="9" t="s">
        <v>120</v>
      </c>
    </row>
    <row r="73" customFormat="false" ht="23.85" hidden="false" customHeight="false" outlineLevel="0" collapsed="false">
      <c r="A73" s="6" t="s">
        <v>335</v>
      </c>
      <c r="B73" s="6" t="s">
        <v>74</v>
      </c>
      <c r="C73" s="7" t="str">
        <f aca="false">INDEX(Epics!$B$2:$B$15,MATCH(B73,Epics!$A$2:$A$15,0))</f>
        <v>Recycle Wallet &amp; EcoPoints</v>
      </c>
      <c r="D73" s="7" t="s">
        <v>102</v>
      </c>
      <c r="E73" s="7" t="s">
        <v>336</v>
      </c>
      <c r="F73" s="7" t="s">
        <v>337</v>
      </c>
      <c r="G73" s="9" t="s">
        <v>39</v>
      </c>
      <c r="H73" s="9" t="n">
        <v>5</v>
      </c>
      <c r="I73" s="9" t="s">
        <v>67</v>
      </c>
      <c r="J73" s="6" t="s">
        <v>119</v>
      </c>
      <c r="K73" s="9" t="s">
        <v>120</v>
      </c>
    </row>
    <row r="74" customFormat="false" ht="23.85" hidden="false" customHeight="false" outlineLevel="0" collapsed="false">
      <c r="A74" s="6" t="s">
        <v>338</v>
      </c>
      <c r="B74" s="6" t="s">
        <v>74</v>
      </c>
      <c r="C74" s="7" t="str">
        <f aca="false">INDEX(Epics!$B$2:$B$15,MATCH(B74,Epics!$A$2:$A$15,0))</f>
        <v>Recycle Wallet &amp; EcoPoints</v>
      </c>
      <c r="D74" s="7" t="s">
        <v>102</v>
      </c>
      <c r="E74" s="7" t="s">
        <v>339</v>
      </c>
      <c r="F74" s="7" t="s">
        <v>340</v>
      </c>
      <c r="G74" s="9" t="s">
        <v>39</v>
      </c>
      <c r="H74" s="9" t="n">
        <v>5</v>
      </c>
      <c r="I74" s="9" t="s">
        <v>67</v>
      </c>
      <c r="J74" s="6" t="s">
        <v>119</v>
      </c>
      <c r="K74" s="9" t="s">
        <v>120</v>
      </c>
    </row>
    <row r="75" customFormat="false" ht="23.85" hidden="false" customHeight="false" outlineLevel="0" collapsed="false">
      <c r="A75" s="6" t="s">
        <v>341</v>
      </c>
      <c r="B75" s="6" t="s">
        <v>74</v>
      </c>
      <c r="C75" s="7" t="str">
        <f aca="false">INDEX(Epics!$B$2:$B$15,MATCH(B75,Epics!$A$2:$A$15,0))</f>
        <v>Recycle Wallet &amp; EcoPoints</v>
      </c>
      <c r="D75" s="7" t="s">
        <v>97</v>
      </c>
      <c r="E75" s="7" t="s">
        <v>342</v>
      </c>
      <c r="F75" s="7" t="s">
        <v>343</v>
      </c>
      <c r="G75" s="9" t="s">
        <v>66</v>
      </c>
      <c r="H75" s="9" t="n">
        <v>5</v>
      </c>
      <c r="I75" s="9" t="s">
        <v>67</v>
      </c>
      <c r="J75" s="6" t="s">
        <v>119</v>
      </c>
      <c r="K75" s="9" t="s">
        <v>120</v>
      </c>
    </row>
    <row r="76" customFormat="false" ht="23.85" hidden="false" customHeight="false" outlineLevel="0" collapsed="false">
      <c r="A76" s="6" t="s">
        <v>344</v>
      </c>
      <c r="B76" s="6" t="s">
        <v>74</v>
      </c>
      <c r="C76" s="7" t="str">
        <f aca="false">INDEX(Epics!$B$2:$B$15,MATCH(B76,Epics!$A$2:$A$15,0))</f>
        <v>Recycle Wallet &amp; EcoPoints</v>
      </c>
      <c r="D76" s="7" t="s">
        <v>107</v>
      </c>
      <c r="E76" s="7" t="s">
        <v>345</v>
      </c>
      <c r="F76" s="7" t="s">
        <v>346</v>
      </c>
      <c r="G76" s="9" t="s">
        <v>66</v>
      </c>
      <c r="H76" s="9" t="n">
        <v>8</v>
      </c>
      <c r="I76" s="9" t="s">
        <v>87</v>
      </c>
      <c r="J76" s="6" t="s">
        <v>119</v>
      </c>
      <c r="K76" s="9" t="s">
        <v>120</v>
      </c>
    </row>
    <row r="77" customFormat="false" ht="23.85" hidden="false" customHeight="false" outlineLevel="0" collapsed="false">
      <c r="A77" s="6" t="s">
        <v>347</v>
      </c>
      <c r="B77" s="6" t="s">
        <v>74</v>
      </c>
      <c r="C77" s="7" t="str">
        <f aca="false">INDEX(Epics!$B$2:$B$15,MATCH(B77,Epics!$A$2:$A$15,0))</f>
        <v>Recycle Wallet &amp; EcoPoints</v>
      </c>
      <c r="D77" s="7" t="s">
        <v>102</v>
      </c>
      <c r="E77" s="7" t="s">
        <v>348</v>
      </c>
      <c r="F77" s="7" t="s">
        <v>349</v>
      </c>
      <c r="G77" s="9" t="s">
        <v>145</v>
      </c>
      <c r="H77" s="9" t="n">
        <v>5</v>
      </c>
      <c r="I77" s="9" t="s">
        <v>87</v>
      </c>
      <c r="J77" s="6" t="s">
        <v>119</v>
      </c>
      <c r="K77" s="9" t="s">
        <v>120</v>
      </c>
    </row>
    <row r="78" customFormat="false" ht="23.85" hidden="false" customHeight="false" outlineLevel="0" collapsed="false">
      <c r="A78" s="6" t="s">
        <v>350</v>
      </c>
      <c r="B78" s="6" t="s">
        <v>74</v>
      </c>
      <c r="C78" s="7" t="str">
        <f aca="false">INDEX(Epics!$B$2:$B$15,MATCH(B78,Epics!$A$2:$A$15,0))</f>
        <v>Recycle Wallet &amp; EcoPoints</v>
      </c>
      <c r="D78" s="7" t="s">
        <v>102</v>
      </c>
      <c r="E78" s="7" t="s">
        <v>351</v>
      </c>
      <c r="F78" s="7" t="s">
        <v>352</v>
      </c>
      <c r="G78" s="9" t="s">
        <v>145</v>
      </c>
      <c r="H78" s="9" t="n">
        <v>3</v>
      </c>
      <c r="I78" s="9" t="s">
        <v>87</v>
      </c>
      <c r="J78" s="6" t="s">
        <v>119</v>
      </c>
      <c r="K78" s="9" t="s">
        <v>120</v>
      </c>
    </row>
    <row r="79" customFormat="false" ht="23.85" hidden="false" customHeight="false" outlineLevel="0" collapsed="false">
      <c r="A79" s="6" t="s">
        <v>353</v>
      </c>
      <c r="B79" s="6" t="s">
        <v>74</v>
      </c>
      <c r="C79" s="7" t="str">
        <f aca="false">INDEX(Epics!$B$2:$B$15,MATCH(B79,Epics!$A$2:$A$15,0))</f>
        <v>Recycle Wallet &amp; EcoPoints</v>
      </c>
      <c r="D79" s="7" t="s">
        <v>102</v>
      </c>
      <c r="E79" s="7" t="s">
        <v>354</v>
      </c>
      <c r="F79" s="7" t="s">
        <v>355</v>
      </c>
      <c r="G79" s="9" t="s">
        <v>145</v>
      </c>
      <c r="H79" s="9" t="n">
        <v>3</v>
      </c>
      <c r="I79" s="9" t="s">
        <v>87</v>
      </c>
      <c r="J79" s="6" t="s">
        <v>119</v>
      </c>
      <c r="K79" s="9" t="s">
        <v>120</v>
      </c>
    </row>
    <row r="80" customFormat="false" ht="23.85" hidden="false" customHeight="false" outlineLevel="0" collapsed="false">
      <c r="A80" s="6" t="s">
        <v>356</v>
      </c>
      <c r="B80" s="6" t="s">
        <v>78</v>
      </c>
      <c r="C80" s="7" t="str">
        <f aca="false">INDEX(Epics!$B$2:$B$15,MATCH(B80,Epics!$A$2:$A$15,0))</f>
        <v>Espace recycleur – dashboard &amp; stocks</v>
      </c>
      <c r="D80" s="7" t="s">
        <v>81</v>
      </c>
      <c r="E80" s="7" t="s">
        <v>357</v>
      </c>
      <c r="F80" s="7" t="s">
        <v>358</v>
      </c>
      <c r="G80" s="9" t="s">
        <v>39</v>
      </c>
      <c r="H80" s="9" t="n">
        <v>8</v>
      </c>
      <c r="I80" s="9" t="s">
        <v>67</v>
      </c>
      <c r="J80" s="6" t="s">
        <v>119</v>
      </c>
      <c r="K80" s="9" t="s">
        <v>120</v>
      </c>
    </row>
    <row r="81" customFormat="false" ht="23.85" hidden="false" customHeight="false" outlineLevel="0" collapsed="false">
      <c r="A81" s="6" t="s">
        <v>359</v>
      </c>
      <c r="B81" s="6" t="s">
        <v>78</v>
      </c>
      <c r="C81" s="7" t="str">
        <f aca="false">INDEX(Epics!$B$2:$B$15,MATCH(B81,Epics!$A$2:$A$15,0))</f>
        <v>Espace recycleur – dashboard &amp; stocks</v>
      </c>
      <c r="D81" s="7" t="s">
        <v>81</v>
      </c>
      <c r="E81" s="7" t="s">
        <v>360</v>
      </c>
      <c r="F81" s="7" t="s">
        <v>361</v>
      </c>
      <c r="G81" s="9" t="s">
        <v>39</v>
      </c>
      <c r="H81" s="9" t="n">
        <v>5</v>
      </c>
      <c r="I81" s="9" t="s">
        <v>67</v>
      </c>
      <c r="J81" s="6" t="s">
        <v>119</v>
      </c>
      <c r="K81" s="9" t="s">
        <v>120</v>
      </c>
    </row>
    <row r="82" customFormat="false" ht="23.85" hidden="false" customHeight="false" outlineLevel="0" collapsed="false">
      <c r="A82" s="6" t="s">
        <v>362</v>
      </c>
      <c r="B82" s="6" t="s">
        <v>78</v>
      </c>
      <c r="C82" s="7" t="str">
        <f aca="false">INDEX(Epics!$B$2:$B$15,MATCH(B82,Epics!$A$2:$A$15,0))</f>
        <v>Espace recycleur – dashboard &amp; stocks</v>
      </c>
      <c r="D82" s="7" t="s">
        <v>81</v>
      </c>
      <c r="E82" s="7" t="s">
        <v>363</v>
      </c>
      <c r="F82" s="7" t="s">
        <v>364</v>
      </c>
      <c r="G82" s="9" t="s">
        <v>39</v>
      </c>
      <c r="H82" s="9" t="n">
        <v>5</v>
      </c>
      <c r="I82" s="9" t="s">
        <v>67</v>
      </c>
      <c r="J82" s="6" t="s">
        <v>119</v>
      </c>
      <c r="K82" s="9" t="s">
        <v>120</v>
      </c>
    </row>
    <row r="83" customFormat="false" ht="23.85" hidden="false" customHeight="false" outlineLevel="0" collapsed="false">
      <c r="A83" s="6" t="s">
        <v>365</v>
      </c>
      <c r="B83" s="6" t="s">
        <v>78</v>
      </c>
      <c r="C83" s="7" t="str">
        <f aca="false">INDEX(Epics!$B$2:$B$15,MATCH(B83,Epics!$A$2:$A$15,0))</f>
        <v>Espace recycleur – dashboard &amp; stocks</v>
      </c>
      <c r="D83" s="7" t="s">
        <v>81</v>
      </c>
      <c r="E83" s="7" t="s">
        <v>366</v>
      </c>
      <c r="F83" s="7" t="s">
        <v>367</v>
      </c>
      <c r="G83" s="9" t="s">
        <v>66</v>
      </c>
      <c r="H83" s="9" t="n">
        <v>3</v>
      </c>
      <c r="I83" s="9" t="s">
        <v>67</v>
      </c>
      <c r="J83" s="6" t="s">
        <v>119</v>
      </c>
      <c r="K83" s="9" t="s">
        <v>120</v>
      </c>
    </row>
    <row r="84" customFormat="false" ht="23.85" hidden="false" customHeight="false" outlineLevel="0" collapsed="false">
      <c r="A84" s="6" t="s">
        <v>368</v>
      </c>
      <c r="B84" s="6" t="s">
        <v>78</v>
      </c>
      <c r="C84" s="7" t="str">
        <f aca="false">INDEX(Epics!$B$2:$B$15,MATCH(B84,Epics!$A$2:$A$15,0))</f>
        <v>Espace recycleur – dashboard &amp; stocks</v>
      </c>
      <c r="D84" s="7" t="s">
        <v>81</v>
      </c>
      <c r="E84" s="7" t="s">
        <v>369</v>
      </c>
      <c r="F84" s="7" t="s">
        <v>370</v>
      </c>
      <c r="G84" s="9" t="s">
        <v>66</v>
      </c>
      <c r="H84" s="9" t="n">
        <v>3</v>
      </c>
      <c r="I84" s="9" t="s">
        <v>67</v>
      </c>
      <c r="J84" s="6" t="s">
        <v>119</v>
      </c>
      <c r="K84" s="9" t="s">
        <v>120</v>
      </c>
    </row>
    <row r="85" customFormat="false" ht="23.85" hidden="false" customHeight="false" outlineLevel="0" collapsed="false">
      <c r="A85" s="6" t="s">
        <v>371</v>
      </c>
      <c r="B85" s="6" t="s">
        <v>78</v>
      </c>
      <c r="C85" s="7" t="str">
        <f aca="false">INDEX(Epics!$B$2:$B$15,MATCH(B85,Epics!$A$2:$A$15,0))</f>
        <v>Espace recycleur – dashboard &amp; stocks</v>
      </c>
      <c r="D85" s="7" t="s">
        <v>81</v>
      </c>
      <c r="E85" s="7" t="s">
        <v>372</v>
      </c>
      <c r="F85" s="7" t="s">
        <v>373</v>
      </c>
      <c r="G85" s="9" t="s">
        <v>66</v>
      </c>
      <c r="H85" s="9" t="n">
        <v>5</v>
      </c>
      <c r="I85" s="9" t="s">
        <v>87</v>
      </c>
      <c r="J85" s="6" t="s">
        <v>119</v>
      </c>
      <c r="K85" s="9" t="s">
        <v>120</v>
      </c>
    </row>
    <row r="86" customFormat="false" ht="23.85" hidden="false" customHeight="false" outlineLevel="0" collapsed="false">
      <c r="A86" s="6" t="s">
        <v>374</v>
      </c>
      <c r="B86" s="6" t="s">
        <v>78</v>
      </c>
      <c r="C86" s="7" t="str">
        <f aca="false">INDEX(Epics!$B$2:$B$15,MATCH(B86,Epics!$A$2:$A$15,0))</f>
        <v>Espace recycleur – dashboard &amp; stocks</v>
      </c>
      <c r="D86" s="7" t="s">
        <v>81</v>
      </c>
      <c r="E86" s="7" t="s">
        <v>375</v>
      </c>
      <c r="F86" s="7" t="s">
        <v>376</v>
      </c>
      <c r="G86" s="9" t="s">
        <v>145</v>
      </c>
      <c r="H86" s="9" t="n">
        <v>3</v>
      </c>
      <c r="I86" s="9" t="s">
        <v>87</v>
      </c>
      <c r="J86" s="6" t="s">
        <v>119</v>
      </c>
      <c r="K86" s="9" t="s">
        <v>120</v>
      </c>
    </row>
    <row r="87" customFormat="false" ht="23.85" hidden="false" customHeight="false" outlineLevel="0" collapsed="false">
      <c r="A87" s="6" t="s">
        <v>377</v>
      </c>
      <c r="B87" s="6" t="s">
        <v>78</v>
      </c>
      <c r="C87" s="7" t="str">
        <f aca="false">INDEX(Epics!$B$2:$B$15,MATCH(B87,Epics!$A$2:$A$15,0))</f>
        <v>Espace recycleur – dashboard &amp; stocks</v>
      </c>
      <c r="D87" s="7" t="s">
        <v>81</v>
      </c>
      <c r="E87" s="7" t="s">
        <v>378</v>
      </c>
      <c r="F87" s="7" t="s">
        <v>379</v>
      </c>
      <c r="G87" s="9" t="s">
        <v>145</v>
      </c>
      <c r="H87" s="9" t="n">
        <v>2</v>
      </c>
      <c r="I87" s="9" t="s">
        <v>87</v>
      </c>
      <c r="J87" s="6" t="s">
        <v>119</v>
      </c>
      <c r="K87" s="9" t="s">
        <v>120</v>
      </c>
    </row>
    <row r="88" customFormat="false" ht="23.85" hidden="false" customHeight="false" outlineLevel="0" collapsed="false">
      <c r="A88" s="6" t="s">
        <v>380</v>
      </c>
      <c r="B88" s="6" t="s">
        <v>78</v>
      </c>
      <c r="C88" s="7" t="str">
        <f aca="false">INDEX(Epics!$B$2:$B$15,MATCH(B88,Epics!$A$2:$A$15,0))</f>
        <v>Espace recycleur – dashboard &amp; stocks</v>
      </c>
      <c r="D88" s="7" t="s">
        <v>81</v>
      </c>
      <c r="E88" s="7" t="s">
        <v>381</v>
      </c>
      <c r="F88" s="7" t="s">
        <v>382</v>
      </c>
      <c r="G88" s="9" t="s">
        <v>145</v>
      </c>
      <c r="H88" s="9" t="n">
        <v>5</v>
      </c>
      <c r="I88" s="9" t="s">
        <v>87</v>
      </c>
      <c r="J88" s="6" t="s">
        <v>119</v>
      </c>
      <c r="K88" s="9" t="s">
        <v>120</v>
      </c>
    </row>
    <row r="89" customFormat="false" ht="23.85" hidden="false" customHeight="false" outlineLevel="0" collapsed="false">
      <c r="A89" s="6" t="s">
        <v>383</v>
      </c>
      <c r="B89" s="6" t="s">
        <v>83</v>
      </c>
      <c r="C89" s="7" t="str">
        <f aca="false">INDEX(Epics!$B$2:$B$15,MATCH(B89,Epics!$A$2:$A$15,0))</f>
        <v>Prédiction IA des volumes</v>
      </c>
      <c r="D89" s="7" t="s">
        <v>81</v>
      </c>
      <c r="E89" s="7" t="s">
        <v>384</v>
      </c>
      <c r="F89" s="7" t="s">
        <v>385</v>
      </c>
      <c r="G89" s="9" t="s">
        <v>66</v>
      </c>
      <c r="H89" s="9" t="n">
        <v>13</v>
      </c>
      <c r="I89" s="9" t="s">
        <v>87</v>
      </c>
      <c r="J89" s="6" t="s">
        <v>386</v>
      </c>
      <c r="K89" s="9" t="s">
        <v>120</v>
      </c>
    </row>
    <row r="90" customFormat="false" ht="23.85" hidden="false" customHeight="false" outlineLevel="0" collapsed="false">
      <c r="A90" s="6" t="s">
        <v>387</v>
      </c>
      <c r="B90" s="6" t="s">
        <v>83</v>
      </c>
      <c r="C90" s="7" t="str">
        <f aca="false">INDEX(Epics!$B$2:$B$15,MATCH(B90,Epics!$A$2:$A$15,0))</f>
        <v>Prédiction IA des volumes</v>
      </c>
      <c r="D90" s="7" t="s">
        <v>81</v>
      </c>
      <c r="E90" s="7" t="s">
        <v>388</v>
      </c>
      <c r="F90" s="7" t="s">
        <v>389</v>
      </c>
      <c r="G90" s="9" t="s">
        <v>66</v>
      </c>
      <c r="H90" s="9" t="n">
        <v>5</v>
      </c>
      <c r="I90" s="9" t="s">
        <v>87</v>
      </c>
      <c r="J90" s="6" t="s">
        <v>386</v>
      </c>
      <c r="K90" s="9" t="s">
        <v>120</v>
      </c>
    </row>
    <row r="91" customFormat="false" ht="23.85" hidden="false" customHeight="false" outlineLevel="0" collapsed="false">
      <c r="A91" s="6" t="s">
        <v>390</v>
      </c>
      <c r="B91" s="6" t="s">
        <v>83</v>
      </c>
      <c r="C91" s="7" t="str">
        <f aca="false">INDEX(Epics!$B$2:$B$15,MATCH(B91,Epics!$A$2:$A$15,0))</f>
        <v>Prédiction IA des volumes</v>
      </c>
      <c r="D91" s="7" t="s">
        <v>97</v>
      </c>
      <c r="E91" s="7" t="s">
        <v>391</v>
      </c>
      <c r="F91" s="7" t="s">
        <v>392</v>
      </c>
      <c r="G91" s="9" t="s">
        <v>145</v>
      </c>
      <c r="H91" s="9" t="n">
        <v>8</v>
      </c>
      <c r="I91" s="9" t="s">
        <v>87</v>
      </c>
      <c r="J91" s="6" t="s">
        <v>386</v>
      </c>
      <c r="K91" s="9" t="s">
        <v>120</v>
      </c>
    </row>
    <row r="92" customFormat="false" ht="23.85" hidden="false" customHeight="false" outlineLevel="0" collapsed="false">
      <c r="A92" s="6" t="s">
        <v>393</v>
      </c>
      <c r="B92" s="6" t="s">
        <v>83</v>
      </c>
      <c r="C92" s="7" t="str">
        <f aca="false">INDEX(Epics!$B$2:$B$15,MATCH(B92,Epics!$A$2:$A$15,0))</f>
        <v>Prédiction IA des volumes</v>
      </c>
      <c r="D92" s="7" t="s">
        <v>97</v>
      </c>
      <c r="E92" s="7" t="s">
        <v>394</v>
      </c>
      <c r="F92" s="7" t="s">
        <v>395</v>
      </c>
      <c r="G92" s="9" t="s">
        <v>145</v>
      </c>
      <c r="H92" s="9" t="n">
        <v>5</v>
      </c>
      <c r="I92" s="9" t="s">
        <v>87</v>
      </c>
      <c r="J92" s="6" t="s">
        <v>386</v>
      </c>
      <c r="K92" s="9" t="s">
        <v>120</v>
      </c>
    </row>
    <row r="93" customFormat="false" ht="23.85" hidden="false" customHeight="false" outlineLevel="0" collapsed="false">
      <c r="A93" s="6" t="s">
        <v>396</v>
      </c>
      <c r="B93" s="6" t="s">
        <v>83</v>
      </c>
      <c r="C93" s="7" t="str">
        <f aca="false">INDEX(Epics!$B$2:$B$15,MATCH(B93,Epics!$A$2:$A$15,0))</f>
        <v>Prédiction IA des volumes</v>
      </c>
      <c r="D93" s="7" t="s">
        <v>97</v>
      </c>
      <c r="E93" s="7" t="s">
        <v>397</v>
      </c>
      <c r="F93" s="7" t="s">
        <v>398</v>
      </c>
      <c r="G93" s="9" t="s">
        <v>145</v>
      </c>
      <c r="H93" s="9" t="n">
        <v>3</v>
      </c>
      <c r="I93" s="9" t="s">
        <v>87</v>
      </c>
      <c r="J93" s="6" t="s">
        <v>386</v>
      </c>
      <c r="K93" s="9" t="s">
        <v>120</v>
      </c>
    </row>
    <row r="94" customFormat="false" ht="23.85" hidden="false" customHeight="false" outlineLevel="0" collapsed="false">
      <c r="A94" s="6" t="s">
        <v>399</v>
      </c>
      <c r="B94" s="6" t="s">
        <v>83</v>
      </c>
      <c r="C94" s="7" t="str">
        <f aca="false">INDEX(Epics!$B$2:$B$15,MATCH(B94,Epics!$A$2:$A$15,0))</f>
        <v>Prédiction IA des volumes</v>
      </c>
      <c r="D94" s="7" t="s">
        <v>107</v>
      </c>
      <c r="E94" s="7" t="s">
        <v>400</v>
      </c>
      <c r="F94" s="7" t="s">
        <v>401</v>
      </c>
      <c r="G94" s="9" t="s">
        <v>145</v>
      </c>
      <c r="H94" s="9" t="n">
        <v>8</v>
      </c>
      <c r="I94" s="9" t="s">
        <v>87</v>
      </c>
      <c r="J94" s="6" t="s">
        <v>386</v>
      </c>
      <c r="K94" s="9" t="s">
        <v>120</v>
      </c>
    </row>
    <row r="95" customFormat="false" ht="23.85" hidden="false" customHeight="false" outlineLevel="0" collapsed="false">
      <c r="A95" s="6" t="s">
        <v>402</v>
      </c>
      <c r="B95" s="6" t="s">
        <v>89</v>
      </c>
      <c r="C95" s="7" t="str">
        <f aca="false">INDEX(Epics!$B$2:$B$15,MATCH(B95,Epics!$A$2:$A$15,0))</f>
        <v>Marketplace circulaire B2B</v>
      </c>
      <c r="D95" s="7" t="s">
        <v>81</v>
      </c>
      <c r="E95" s="7" t="s">
        <v>403</v>
      </c>
      <c r="F95" s="7" t="s">
        <v>404</v>
      </c>
      <c r="G95" s="9" t="s">
        <v>66</v>
      </c>
      <c r="H95" s="9" t="n">
        <v>5</v>
      </c>
      <c r="I95" s="9" t="s">
        <v>87</v>
      </c>
      <c r="J95" s="6" t="s">
        <v>119</v>
      </c>
      <c r="K95" s="9" t="s">
        <v>120</v>
      </c>
    </row>
    <row r="96" customFormat="false" ht="23.85" hidden="false" customHeight="false" outlineLevel="0" collapsed="false">
      <c r="A96" s="6" t="s">
        <v>405</v>
      </c>
      <c r="B96" s="6" t="s">
        <v>89</v>
      </c>
      <c r="C96" s="7" t="str">
        <f aca="false">INDEX(Epics!$B$2:$B$15,MATCH(B96,Epics!$A$2:$A$15,0))</f>
        <v>Marketplace circulaire B2B</v>
      </c>
      <c r="D96" s="7" t="s">
        <v>81</v>
      </c>
      <c r="E96" s="7" t="s">
        <v>406</v>
      </c>
      <c r="F96" s="7" t="s">
        <v>407</v>
      </c>
      <c r="G96" s="9" t="s">
        <v>66</v>
      </c>
      <c r="H96" s="9" t="n">
        <v>5</v>
      </c>
      <c r="I96" s="9" t="s">
        <v>87</v>
      </c>
      <c r="J96" s="6" t="s">
        <v>119</v>
      </c>
      <c r="K96" s="9" t="s">
        <v>120</v>
      </c>
    </row>
    <row r="97" customFormat="false" ht="23.85" hidden="false" customHeight="false" outlineLevel="0" collapsed="false">
      <c r="A97" s="6" t="s">
        <v>408</v>
      </c>
      <c r="B97" s="6" t="s">
        <v>89</v>
      </c>
      <c r="C97" s="7" t="str">
        <f aca="false">INDEX(Epics!$B$2:$B$15,MATCH(B97,Epics!$A$2:$A$15,0))</f>
        <v>Marketplace circulaire B2B</v>
      </c>
      <c r="D97" s="7" t="s">
        <v>81</v>
      </c>
      <c r="E97" s="7" t="s">
        <v>409</v>
      </c>
      <c r="F97" s="7" t="s">
        <v>410</v>
      </c>
      <c r="G97" s="9" t="s">
        <v>66</v>
      </c>
      <c r="H97" s="9" t="n">
        <v>5</v>
      </c>
      <c r="I97" s="9" t="s">
        <v>87</v>
      </c>
      <c r="J97" s="6" t="s">
        <v>119</v>
      </c>
      <c r="K97" s="9" t="s">
        <v>120</v>
      </c>
    </row>
    <row r="98" customFormat="false" ht="23.85" hidden="false" customHeight="false" outlineLevel="0" collapsed="false">
      <c r="A98" s="6" t="s">
        <v>411</v>
      </c>
      <c r="B98" s="6" t="s">
        <v>89</v>
      </c>
      <c r="C98" s="7" t="str">
        <f aca="false">INDEX(Epics!$B$2:$B$15,MATCH(B98,Epics!$A$2:$A$15,0))</f>
        <v>Marketplace circulaire B2B</v>
      </c>
      <c r="D98" s="7" t="s">
        <v>81</v>
      </c>
      <c r="E98" s="7" t="s">
        <v>412</v>
      </c>
      <c r="F98" s="7" t="s">
        <v>413</v>
      </c>
      <c r="G98" s="9" t="s">
        <v>66</v>
      </c>
      <c r="H98" s="9" t="n">
        <v>5</v>
      </c>
      <c r="I98" s="9" t="s">
        <v>87</v>
      </c>
      <c r="J98" s="6" t="s">
        <v>119</v>
      </c>
      <c r="K98" s="9" t="s">
        <v>120</v>
      </c>
    </row>
    <row r="99" customFormat="false" ht="23.85" hidden="false" customHeight="false" outlineLevel="0" collapsed="false">
      <c r="A99" s="6" t="s">
        <v>414</v>
      </c>
      <c r="B99" s="6" t="s">
        <v>89</v>
      </c>
      <c r="C99" s="7" t="str">
        <f aca="false">INDEX(Epics!$B$2:$B$15,MATCH(B99,Epics!$A$2:$A$15,0))</f>
        <v>Marketplace circulaire B2B</v>
      </c>
      <c r="D99" s="7" t="s">
        <v>81</v>
      </c>
      <c r="E99" s="7" t="s">
        <v>415</v>
      </c>
      <c r="F99" s="7" t="s">
        <v>416</v>
      </c>
      <c r="G99" s="9" t="s">
        <v>145</v>
      </c>
      <c r="H99" s="9" t="n">
        <v>5</v>
      </c>
      <c r="I99" s="9" t="s">
        <v>87</v>
      </c>
      <c r="J99" s="6" t="s">
        <v>119</v>
      </c>
      <c r="K99" s="9" t="s">
        <v>120</v>
      </c>
    </row>
    <row r="100" customFormat="false" ht="23.85" hidden="false" customHeight="false" outlineLevel="0" collapsed="false">
      <c r="A100" s="6" t="s">
        <v>417</v>
      </c>
      <c r="B100" s="6" t="s">
        <v>89</v>
      </c>
      <c r="C100" s="7" t="str">
        <f aca="false">INDEX(Epics!$B$2:$B$15,MATCH(B100,Epics!$A$2:$A$15,0))</f>
        <v>Marketplace circulaire B2B</v>
      </c>
      <c r="D100" s="7" t="s">
        <v>81</v>
      </c>
      <c r="E100" s="7" t="s">
        <v>418</v>
      </c>
      <c r="F100" s="7" t="s">
        <v>419</v>
      </c>
      <c r="G100" s="9" t="s">
        <v>66</v>
      </c>
      <c r="H100" s="9" t="n">
        <v>5</v>
      </c>
      <c r="I100" s="9" t="s">
        <v>87</v>
      </c>
      <c r="J100" s="6" t="s">
        <v>119</v>
      </c>
      <c r="K100" s="9" t="s">
        <v>120</v>
      </c>
    </row>
    <row r="101" customFormat="false" ht="23.85" hidden="false" customHeight="false" outlineLevel="0" collapsed="false">
      <c r="A101" s="6" t="s">
        <v>420</v>
      </c>
      <c r="B101" s="6" t="s">
        <v>89</v>
      </c>
      <c r="C101" s="7" t="str">
        <f aca="false">INDEX(Epics!$B$2:$B$15,MATCH(B101,Epics!$A$2:$A$15,0))</f>
        <v>Marketplace circulaire B2B</v>
      </c>
      <c r="D101" s="7" t="s">
        <v>81</v>
      </c>
      <c r="E101" s="7" t="s">
        <v>421</v>
      </c>
      <c r="F101" s="7" t="s">
        <v>422</v>
      </c>
      <c r="G101" s="9" t="s">
        <v>145</v>
      </c>
      <c r="H101" s="9" t="n">
        <v>3</v>
      </c>
      <c r="I101" s="9" t="s">
        <v>87</v>
      </c>
      <c r="J101" s="6" t="s">
        <v>119</v>
      </c>
      <c r="K101" s="9" t="s">
        <v>120</v>
      </c>
    </row>
    <row r="102" customFormat="false" ht="23.85" hidden="false" customHeight="false" outlineLevel="0" collapsed="false">
      <c r="A102" s="6" t="s">
        <v>423</v>
      </c>
      <c r="B102" s="6" t="s">
        <v>89</v>
      </c>
      <c r="C102" s="7" t="str">
        <f aca="false">INDEX(Epics!$B$2:$B$15,MATCH(B102,Epics!$A$2:$A$15,0))</f>
        <v>Marketplace circulaire B2B</v>
      </c>
      <c r="D102" s="7" t="s">
        <v>81</v>
      </c>
      <c r="E102" s="7" t="s">
        <v>424</v>
      </c>
      <c r="F102" s="7" t="s">
        <v>425</v>
      </c>
      <c r="G102" s="9" t="s">
        <v>145</v>
      </c>
      <c r="H102" s="9" t="n">
        <v>2</v>
      </c>
      <c r="I102" s="9" t="s">
        <v>87</v>
      </c>
      <c r="J102" s="6" t="s">
        <v>119</v>
      </c>
      <c r="K102" s="9" t="s">
        <v>120</v>
      </c>
    </row>
    <row r="103" customFormat="false" ht="23.85" hidden="false" customHeight="false" outlineLevel="0" collapsed="false">
      <c r="A103" s="6" t="s">
        <v>426</v>
      </c>
      <c r="B103" s="6" t="s">
        <v>89</v>
      </c>
      <c r="C103" s="7" t="str">
        <f aca="false">INDEX(Epics!$B$2:$B$15,MATCH(B103,Epics!$A$2:$A$15,0))</f>
        <v>Marketplace circulaire B2B</v>
      </c>
      <c r="D103" s="7" t="s">
        <v>107</v>
      </c>
      <c r="E103" s="7" t="s">
        <v>427</v>
      </c>
      <c r="F103" s="7" t="s">
        <v>428</v>
      </c>
      <c r="G103" s="9" t="s">
        <v>145</v>
      </c>
      <c r="H103" s="9" t="n">
        <v>8</v>
      </c>
      <c r="I103" s="9" t="s">
        <v>87</v>
      </c>
      <c r="J103" s="6" t="s">
        <v>386</v>
      </c>
      <c r="K103" s="9" t="s">
        <v>120</v>
      </c>
    </row>
    <row r="104" customFormat="false" ht="23.85" hidden="false" customHeight="false" outlineLevel="0" collapsed="false">
      <c r="A104" s="6" t="s">
        <v>429</v>
      </c>
      <c r="B104" s="6" t="s">
        <v>89</v>
      </c>
      <c r="C104" s="7" t="str">
        <f aca="false">INDEX(Epics!$B$2:$B$15,MATCH(B104,Epics!$A$2:$A$15,0))</f>
        <v>Marketplace circulaire B2B</v>
      </c>
      <c r="D104" s="7" t="s">
        <v>97</v>
      </c>
      <c r="E104" s="7" t="s">
        <v>430</v>
      </c>
      <c r="F104" s="7" t="s">
        <v>431</v>
      </c>
      <c r="G104" s="9" t="s">
        <v>66</v>
      </c>
      <c r="H104" s="9" t="n">
        <v>3</v>
      </c>
      <c r="I104" s="9" t="s">
        <v>87</v>
      </c>
      <c r="J104" s="6" t="s">
        <v>119</v>
      </c>
      <c r="K104" s="9" t="s">
        <v>120</v>
      </c>
    </row>
    <row r="105" customFormat="false" ht="23.85" hidden="false" customHeight="false" outlineLevel="0" collapsed="false">
      <c r="A105" s="6" t="s">
        <v>432</v>
      </c>
      <c r="B105" s="6" t="s">
        <v>89</v>
      </c>
      <c r="C105" s="7" t="str">
        <f aca="false">INDEX(Epics!$B$2:$B$15,MATCH(B105,Epics!$A$2:$A$15,0))</f>
        <v>Marketplace circulaire B2B</v>
      </c>
      <c r="D105" s="7" t="s">
        <v>81</v>
      </c>
      <c r="E105" s="7" t="s">
        <v>433</v>
      </c>
      <c r="F105" s="7" t="s">
        <v>434</v>
      </c>
      <c r="G105" s="9" t="s">
        <v>145</v>
      </c>
      <c r="H105" s="9" t="n">
        <v>13</v>
      </c>
      <c r="I105" s="9" t="s">
        <v>87</v>
      </c>
      <c r="J105" s="6" t="s">
        <v>119</v>
      </c>
      <c r="K105" s="9" t="s">
        <v>120</v>
      </c>
    </row>
    <row r="106" customFormat="false" ht="23.85" hidden="false" customHeight="false" outlineLevel="0" collapsed="false">
      <c r="A106" s="6" t="s">
        <v>435</v>
      </c>
      <c r="B106" s="6" t="s">
        <v>89</v>
      </c>
      <c r="C106" s="7" t="str">
        <f aca="false">INDEX(Epics!$B$2:$B$15,MATCH(B106,Epics!$A$2:$A$15,0))</f>
        <v>Marketplace circulaire B2B</v>
      </c>
      <c r="D106" s="7" t="s">
        <v>81</v>
      </c>
      <c r="E106" s="7" t="s">
        <v>436</v>
      </c>
      <c r="F106" s="7" t="s">
        <v>437</v>
      </c>
      <c r="G106" s="9" t="s">
        <v>145</v>
      </c>
      <c r="H106" s="9" t="n">
        <v>5</v>
      </c>
      <c r="I106" s="9" t="s">
        <v>87</v>
      </c>
      <c r="J106" s="6" t="s">
        <v>119</v>
      </c>
      <c r="K106" s="9" t="s">
        <v>120</v>
      </c>
    </row>
    <row r="107" customFormat="false" ht="23.85" hidden="false" customHeight="false" outlineLevel="0" collapsed="false">
      <c r="A107" s="6" t="s">
        <v>438</v>
      </c>
      <c r="B107" s="6" t="s">
        <v>94</v>
      </c>
      <c r="C107" s="7" t="str">
        <f aca="false">INDEX(Epics!$B$2:$B$15,MATCH(B107,Epics!$A$2:$A$15,0))</f>
        <v>Administration &amp; supervision</v>
      </c>
      <c r="D107" s="7" t="s">
        <v>97</v>
      </c>
      <c r="E107" s="7" t="s">
        <v>439</v>
      </c>
      <c r="F107" s="7" t="s">
        <v>440</v>
      </c>
      <c r="G107" s="9" t="s">
        <v>39</v>
      </c>
      <c r="H107" s="9" t="n">
        <v>5</v>
      </c>
      <c r="I107" s="9" t="s">
        <v>40</v>
      </c>
      <c r="J107" s="6" t="s">
        <v>119</v>
      </c>
      <c r="K107" s="9" t="s">
        <v>120</v>
      </c>
    </row>
    <row r="108" customFormat="false" ht="23.85" hidden="false" customHeight="false" outlineLevel="0" collapsed="false">
      <c r="A108" s="6" t="s">
        <v>441</v>
      </c>
      <c r="B108" s="6" t="s">
        <v>94</v>
      </c>
      <c r="C108" s="7" t="str">
        <f aca="false">INDEX(Epics!$B$2:$B$15,MATCH(B108,Epics!$A$2:$A$15,0))</f>
        <v>Administration &amp; supervision</v>
      </c>
      <c r="D108" s="7" t="s">
        <v>97</v>
      </c>
      <c r="E108" s="7" t="s">
        <v>442</v>
      </c>
      <c r="F108" s="7" t="s">
        <v>443</v>
      </c>
      <c r="G108" s="9" t="s">
        <v>39</v>
      </c>
      <c r="H108" s="9" t="n">
        <v>5</v>
      </c>
      <c r="I108" s="9" t="s">
        <v>40</v>
      </c>
      <c r="J108" s="6" t="s">
        <v>119</v>
      </c>
      <c r="K108" s="9" t="s">
        <v>120</v>
      </c>
    </row>
    <row r="109" customFormat="false" ht="23.85" hidden="false" customHeight="false" outlineLevel="0" collapsed="false">
      <c r="A109" s="6" t="s">
        <v>444</v>
      </c>
      <c r="B109" s="6" t="s">
        <v>94</v>
      </c>
      <c r="C109" s="7" t="str">
        <f aca="false">INDEX(Epics!$B$2:$B$15,MATCH(B109,Epics!$A$2:$A$15,0))</f>
        <v>Administration &amp; supervision</v>
      </c>
      <c r="D109" s="7" t="s">
        <v>97</v>
      </c>
      <c r="E109" s="7" t="s">
        <v>445</v>
      </c>
      <c r="F109" s="7" t="s">
        <v>446</v>
      </c>
      <c r="G109" s="9" t="s">
        <v>39</v>
      </c>
      <c r="H109" s="9" t="n">
        <v>8</v>
      </c>
      <c r="I109" s="9" t="s">
        <v>40</v>
      </c>
      <c r="J109" s="6" t="s">
        <v>119</v>
      </c>
      <c r="K109" s="9" t="s">
        <v>120</v>
      </c>
    </row>
    <row r="110" customFormat="false" ht="23.85" hidden="false" customHeight="false" outlineLevel="0" collapsed="false">
      <c r="A110" s="6" t="s">
        <v>447</v>
      </c>
      <c r="B110" s="6" t="s">
        <v>94</v>
      </c>
      <c r="C110" s="7" t="str">
        <f aca="false">INDEX(Epics!$B$2:$B$15,MATCH(B110,Epics!$A$2:$A$15,0))</f>
        <v>Administration &amp; supervision</v>
      </c>
      <c r="D110" s="7" t="s">
        <v>97</v>
      </c>
      <c r="E110" s="7" t="s">
        <v>448</v>
      </c>
      <c r="F110" s="7" t="s">
        <v>449</v>
      </c>
      <c r="G110" s="9" t="s">
        <v>39</v>
      </c>
      <c r="H110" s="9" t="n">
        <v>8</v>
      </c>
      <c r="I110" s="9" t="s">
        <v>40</v>
      </c>
      <c r="J110" s="6" t="s">
        <v>119</v>
      </c>
      <c r="K110" s="9" t="s">
        <v>120</v>
      </c>
    </row>
    <row r="111" customFormat="false" ht="23.85" hidden="false" customHeight="false" outlineLevel="0" collapsed="false">
      <c r="A111" s="6" t="s">
        <v>450</v>
      </c>
      <c r="B111" s="6" t="s">
        <v>94</v>
      </c>
      <c r="C111" s="7" t="str">
        <f aca="false">INDEX(Epics!$B$2:$B$15,MATCH(B111,Epics!$A$2:$A$15,0))</f>
        <v>Administration &amp; supervision</v>
      </c>
      <c r="D111" s="7" t="s">
        <v>97</v>
      </c>
      <c r="E111" s="7" t="s">
        <v>451</v>
      </c>
      <c r="F111" s="7" t="s">
        <v>452</v>
      </c>
      <c r="G111" s="9" t="s">
        <v>66</v>
      </c>
      <c r="H111" s="9" t="n">
        <v>5</v>
      </c>
      <c r="I111" s="9" t="s">
        <v>67</v>
      </c>
      <c r="J111" s="6" t="s">
        <v>119</v>
      </c>
      <c r="K111" s="9" t="s">
        <v>120</v>
      </c>
    </row>
    <row r="112" customFormat="false" ht="35.05" hidden="false" customHeight="false" outlineLevel="0" collapsed="false">
      <c r="A112" s="6" t="s">
        <v>453</v>
      </c>
      <c r="B112" s="6" t="s">
        <v>94</v>
      </c>
      <c r="C112" s="7" t="str">
        <f aca="false">INDEX(Epics!$B$2:$B$15,MATCH(B112,Epics!$A$2:$A$15,0))</f>
        <v>Administration &amp; supervision</v>
      </c>
      <c r="D112" s="7" t="s">
        <v>97</v>
      </c>
      <c r="E112" s="7" t="s">
        <v>454</v>
      </c>
      <c r="F112" s="7" t="s">
        <v>455</v>
      </c>
      <c r="G112" s="9" t="s">
        <v>66</v>
      </c>
      <c r="H112" s="9" t="n">
        <v>8</v>
      </c>
      <c r="I112" s="9" t="s">
        <v>67</v>
      </c>
      <c r="J112" s="6" t="s">
        <v>119</v>
      </c>
      <c r="K112" s="9" t="s">
        <v>120</v>
      </c>
    </row>
    <row r="113" customFormat="false" ht="23.85" hidden="false" customHeight="false" outlineLevel="0" collapsed="false">
      <c r="A113" s="6" t="s">
        <v>456</v>
      </c>
      <c r="B113" s="6" t="s">
        <v>94</v>
      </c>
      <c r="C113" s="7" t="str">
        <f aca="false">INDEX(Epics!$B$2:$B$15,MATCH(B113,Epics!$A$2:$A$15,0))</f>
        <v>Administration &amp; supervision</v>
      </c>
      <c r="D113" s="7" t="s">
        <v>97</v>
      </c>
      <c r="E113" s="7" t="s">
        <v>457</v>
      </c>
      <c r="F113" s="7" t="s">
        <v>458</v>
      </c>
      <c r="G113" s="9" t="s">
        <v>66</v>
      </c>
      <c r="H113" s="9" t="n">
        <v>5</v>
      </c>
      <c r="I113" s="9" t="s">
        <v>67</v>
      </c>
      <c r="J113" s="6" t="s">
        <v>119</v>
      </c>
      <c r="K113" s="9" t="s">
        <v>120</v>
      </c>
    </row>
    <row r="114" customFormat="false" ht="23.85" hidden="false" customHeight="false" outlineLevel="0" collapsed="false">
      <c r="A114" s="6" t="s">
        <v>459</v>
      </c>
      <c r="B114" s="6" t="s">
        <v>94</v>
      </c>
      <c r="C114" s="7" t="str">
        <f aca="false">INDEX(Epics!$B$2:$B$15,MATCH(B114,Epics!$A$2:$A$15,0))</f>
        <v>Administration &amp; supervision</v>
      </c>
      <c r="D114" s="7" t="s">
        <v>97</v>
      </c>
      <c r="E114" s="7" t="s">
        <v>460</v>
      </c>
      <c r="F114" s="7" t="s">
        <v>461</v>
      </c>
      <c r="G114" s="9" t="s">
        <v>66</v>
      </c>
      <c r="H114" s="9" t="n">
        <v>5</v>
      </c>
      <c r="I114" s="9" t="s">
        <v>67</v>
      </c>
      <c r="J114" s="6" t="s">
        <v>119</v>
      </c>
      <c r="K114" s="9" t="s">
        <v>120</v>
      </c>
    </row>
    <row r="115" customFormat="false" ht="23.85" hidden="false" customHeight="false" outlineLevel="0" collapsed="false">
      <c r="A115" s="6" t="s">
        <v>462</v>
      </c>
      <c r="B115" s="6" t="s">
        <v>94</v>
      </c>
      <c r="C115" s="7" t="str">
        <f aca="false">INDEX(Epics!$B$2:$B$15,MATCH(B115,Epics!$A$2:$A$15,0))</f>
        <v>Administration &amp; supervision</v>
      </c>
      <c r="D115" s="7" t="s">
        <v>97</v>
      </c>
      <c r="E115" s="7" t="s">
        <v>463</v>
      </c>
      <c r="F115" s="7" t="s">
        <v>464</v>
      </c>
      <c r="G115" s="9" t="s">
        <v>66</v>
      </c>
      <c r="H115" s="9" t="n">
        <v>3</v>
      </c>
      <c r="I115" s="9" t="s">
        <v>67</v>
      </c>
      <c r="J115" s="6" t="s">
        <v>119</v>
      </c>
      <c r="K115" s="9" t="s">
        <v>120</v>
      </c>
    </row>
    <row r="116" customFormat="false" ht="23.85" hidden="false" customHeight="false" outlineLevel="0" collapsed="false">
      <c r="A116" s="6" t="s">
        <v>465</v>
      </c>
      <c r="B116" s="6" t="s">
        <v>94</v>
      </c>
      <c r="C116" s="7" t="str">
        <f aca="false">INDEX(Epics!$B$2:$B$15,MATCH(B116,Epics!$A$2:$A$15,0))</f>
        <v>Administration &amp; supervision</v>
      </c>
      <c r="D116" s="7" t="s">
        <v>97</v>
      </c>
      <c r="E116" s="7" t="s">
        <v>466</v>
      </c>
      <c r="F116" s="7" t="s">
        <v>467</v>
      </c>
      <c r="G116" s="9" t="s">
        <v>145</v>
      </c>
      <c r="H116" s="9" t="n">
        <v>5</v>
      </c>
      <c r="I116" s="9" t="s">
        <v>87</v>
      </c>
      <c r="J116" s="6" t="s">
        <v>119</v>
      </c>
      <c r="K116" s="9" t="s">
        <v>120</v>
      </c>
    </row>
    <row r="117" customFormat="false" ht="23.85" hidden="false" customHeight="false" outlineLevel="0" collapsed="false">
      <c r="A117" s="6" t="s">
        <v>468</v>
      </c>
      <c r="B117" s="6" t="s">
        <v>94</v>
      </c>
      <c r="C117" s="7" t="str">
        <f aca="false">INDEX(Epics!$B$2:$B$15,MATCH(B117,Epics!$A$2:$A$15,0))</f>
        <v>Administration &amp; supervision</v>
      </c>
      <c r="D117" s="7" t="s">
        <v>97</v>
      </c>
      <c r="E117" s="7" t="s">
        <v>469</v>
      </c>
      <c r="F117" s="7" t="s">
        <v>470</v>
      </c>
      <c r="G117" s="9" t="s">
        <v>145</v>
      </c>
      <c r="H117" s="9" t="n">
        <v>3</v>
      </c>
      <c r="I117" s="9" t="s">
        <v>87</v>
      </c>
      <c r="J117" s="6" t="s">
        <v>119</v>
      </c>
      <c r="K117" s="9" t="s">
        <v>120</v>
      </c>
    </row>
    <row r="118" customFormat="false" ht="23.85" hidden="false" customHeight="false" outlineLevel="0" collapsed="false">
      <c r="A118" s="6" t="s">
        <v>471</v>
      </c>
      <c r="B118" s="6" t="s">
        <v>94</v>
      </c>
      <c r="C118" s="7" t="str">
        <f aca="false">INDEX(Epics!$B$2:$B$15,MATCH(B118,Epics!$A$2:$A$15,0))</f>
        <v>Administration &amp; supervision</v>
      </c>
      <c r="D118" s="7" t="s">
        <v>97</v>
      </c>
      <c r="E118" s="7" t="s">
        <v>472</v>
      </c>
      <c r="F118" s="7" t="s">
        <v>473</v>
      </c>
      <c r="G118" s="9" t="s">
        <v>66</v>
      </c>
      <c r="H118" s="9" t="n">
        <v>5</v>
      </c>
      <c r="I118" s="9" t="s">
        <v>40</v>
      </c>
      <c r="J118" s="6" t="s">
        <v>119</v>
      </c>
      <c r="K118" s="9" t="s">
        <v>120</v>
      </c>
    </row>
    <row r="119" customFormat="false" ht="23.85" hidden="false" customHeight="false" outlineLevel="0" collapsed="false">
      <c r="A119" s="6" t="s">
        <v>474</v>
      </c>
      <c r="B119" s="6" t="s">
        <v>99</v>
      </c>
      <c r="C119" s="7" t="str">
        <f aca="false">INDEX(Epics!$B$2:$B$15,MATCH(B119,Epics!$A$2:$A$15,0))</f>
        <v>Statistiques &amp; impact citoyen</v>
      </c>
      <c r="D119" s="7" t="s">
        <v>102</v>
      </c>
      <c r="E119" s="7" t="s">
        <v>475</v>
      </c>
      <c r="F119" s="7" t="s">
        <v>476</v>
      </c>
      <c r="G119" s="9" t="s">
        <v>66</v>
      </c>
      <c r="H119" s="9" t="n">
        <v>5</v>
      </c>
      <c r="I119" s="9" t="s">
        <v>67</v>
      </c>
      <c r="J119" s="6" t="s">
        <v>119</v>
      </c>
      <c r="K119" s="9" t="s">
        <v>120</v>
      </c>
    </row>
    <row r="120" customFormat="false" ht="23.85" hidden="false" customHeight="false" outlineLevel="0" collapsed="false">
      <c r="A120" s="6" t="s">
        <v>477</v>
      </c>
      <c r="B120" s="6" t="s">
        <v>99</v>
      </c>
      <c r="C120" s="7" t="str">
        <f aca="false">INDEX(Epics!$B$2:$B$15,MATCH(B120,Epics!$A$2:$A$15,0))</f>
        <v>Statistiques &amp; impact citoyen</v>
      </c>
      <c r="D120" s="7" t="s">
        <v>102</v>
      </c>
      <c r="E120" s="7" t="s">
        <v>478</v>
      </c>
      <c r="F120" s="7" t="s">
        <v>479</v>
      </c>
      <c r="G120" s="9" t="s">
        <v>66</v>
      </c>
      <c r="H120" s="9" t="n">
        <v>3</v>
      </c>
      <c r="I120" s="9" t="s">
        <v>67</v>
      </c>
      <c r="J120" s="6" t="s">
        <v>119</v>
      </c>
      <c r="K120" s="9" t="s">
        <v>120</v>
      </c>
    </row>
    <row r="121" customFormat="false" ht="23.85" hidden="false" customHeight="false" outlineLevel="0" collapsed="false">
      <c r="A121" s="6" t="s">
        <v>480</v>
      </c>
      <c r="B121" s="6" t="s">
        <v>99</v>
      </c>
      <c r="C121" s="7" t="str">
        <f aca="false">INDEX(Epics!$B$2:$B$15,MATCH(B121,Epics!$A$2:$A$15,0))</f>
        <v>Statistiques &amp; impact citoyen</v>
      </c>
      <c r="D121" s="7" t="s">
        <v>102</v>
      </c>
      <c r="E121" s="7" t="s">
        <v>481</v>
      </c>
      <c r="F121" s="7" t="s">
        <v>482</v>
      </c>
      <c r="G121" s="9" t="s">
        <v>66</v>
      </c>
      <c r="H121" s="9" t="n">
        <v>3</v>
      </c>
      <c r="I121" s="9" t="s">
        <v>67</v>
      </c>
      <c r="J121" s="6" t="s">
        <v>119</v>
      </c>
      <c r="K121" s="9" t="s">
        <v>120</v>
      </c>
    </row>
    <row r="122" customFormat="false" ht="23.85" hidden="false" customHeight="false" outlineLevel="0" collapsed="false">
      <c r="A122" s="6" t="s">
        <v>483</v>
      </c>
      <c r="B122" s="6" t="s">
        <v>99</v>
      </c>
      <c r="C122" s="7" t="str">
        <f aca="false">INDEX(Epics!$B$2:$B$15,MATCH(B122,Epics!$A$2:$A$15,0))</f>
        <v>Statistiques &amp; impact citoyen</v>
      </c>
      <c r="D122" s="7" t="s">
        <v>102</v>
      </c>
      <c r="E122" s="7" t="s">
        <v>484</v>
      </c>
      <c r="F122" s="7" t="s">
        <v>485</v>
      </c>
      <c r="G122" s="9" t="s">
        <v>145</v>
      </c>
      <c r="H122" s="9" t="n">
        <v>8</v>
      </c>
      <c r="I122" s="9" t="s">
        <v>87</v>
      </c>
      <c r="J122" s="6" t="s">
        <v>119</v>
      </c>
      <c r="K122" s="9" t="s">
        <v>120</v>
      </c>
    </row>
    <row r="123" customFormat="false" ht="23.85" hidden="false" customHeight="false" outlineLevel="0" collapsed="false">
      <c r="A123" s="6" t="s">
        <v>486</v>
      </c>
      <c r="B123" s="6" t="s">
        <v>99</v>
      </c>
      <c r="C123" s="7" t="str">
        <f aca="false">INDEX(Epics!$B$2:$B$15,MATCH(B123,Epics!$A$2:$A$15,0))</f>
        <v>Statistiques &amp; impact citoyen</v>
      </c>
      <c r="D123" s="7" t="s">
        <v>102</v>
      </c>
      <c r="E123" s="7" t="s">
        <v>487</v>
      </c>
      <c r="F123" s="7" t="s">
        <v>488</v>
      </c>
      <c r="G123" s="9" t="s">
        <v>145</v>
      </c>
      <c r="H123" s="9" t="n">
        <v>3</v>
      </c>
      <c r="I123" s="9" t="s">
        <v>87</v>
      </c>
      <c r="J123" s="6" t="s">
        <v>119</v>
      </c>
      <c r="K123" s="9" t="s">
        <v>120</v>
      </c>
    </row>
    <row r="124" customFormat="false" ht="23.85" hidden="false" customHeight="false" outlineLevel="0" collapsed="false">
      <c r="A124" s="6" t="s">
        <v>489</v>
      </c>
      <c r="B124" s="6" t="s">
        <v>104</v>
      </c>
      <c r="C124" s="7" t="str">
        <f aca="false">INDEX(Epics!$B$2:$B$15,MATCH(B124,Epics!$A$2:$A$15,0))</f>
        <v>Exigences transverses &amp; qualité</v>
      </c>
      <c r="D124" s="7" t="s">
        <v>107</v>
      </c>
      <c r="E124" s="7" t="s">
        <v>490</v>
      </c>
      <c r="F124" s="7" t="s">
        <v>491</v>
      </c>
      <c r="G124" s="9" t="s">
        <v>39</v>
      </c>
      <c r="H124" s="9" t="n">
        <v>8</v>
      </c>
      <c r="I124" s="9" t="s">
        <v>40</v>
      </c>
      <c r="J124" s="6" t="s">
        <v>119</v>
      </c>
      <c r="K124" s="9" t="s">
        <v>120</v>
      </c>
    </row>
    <row r="125" customFormat="false" ht="23.85" hidden="false" customHeight="false" outlineLevel="0" collapsed="false">
      <c r="A125" s="6" t="s">
        <v>492</v>
      </c>
      <c r="B125" s="6" t="s">
        <v>104</v>
      </c>
      <c r="C125" s="7" t="str">
        <f aca="false">INDEX(Epics!$B$2:$B$15,MATCH(B125,Epics!$A$2:$A$15,0))</f>
        <v>Exigences transverses &amp; qualité</v>
      </c>
      <c r="D125" s="7" t="s">
        <v>107</v>
      </c>
      <c r="E125" s="7" t="s">
        <v>493</v>
      </c>
      <c r="F125" s="7" t="s">
        <v>494</v>
      </c>
      <c r="G125" s="9" t="s">
        <v>39</v>
      </c>
      <c r="H125" s="9" t="n">
        <v>5</v>
      </c>
      <c r="I125" s="9" t="s">
        <v>40</v>
      </c>
      <c r="J125" s="6" t="s">
        <v>119</v>
      </c>
      <c r="K125" s="9" t="s">
        <v>120</v>
      </c>
    </row>
    <row r="126" customFormat="false" ht="23.85" hidden="false" customHeight="false" outlineLevel="0" collapsed="false">
      <c r="A126" s="6" t="s">
        <v>495</v>
      </c>
      <c r="B126" s="6" t="s">
        <v>104</v>
      </c>
      <c r="C126" s="7" t="str">
        <f aca="false">INDEX(Epics!$B$2:$B$15,MATCH(B126,Epics!$A$2:$A$15,0))</f>
        <v>Exigences transverses &amp; qualité</v>
      </c>
      <c r="D126" s="7" t="s">
        <v>107</v>
      </c>
      <c r="E126" s="7" t="s">
        <v>496</v>
      </c>
      <c r="F126" s="7" t="s">
        <v>497</v>
      </c>
      <c r="G126" s="9" t="s">
        <v>66</v>
      </c>
      <c r="H126" s="9" t="n">
        <v>5</v>
      </c>
      <c r="I126" s="9" t="s">
        <v>67</v>
      </c>
      <c r="J126" s="6" t="s">
        <v>119</v>
      </c>
      <c r="K126" s="9" t="s">
        <v>120</v>
      </c>
    </row>
    <row r="127" customFormat="false" ht="23.85" hidden="false" customHeight="false" outlineLevel="0" collapsed="false">
      <c r="A127" s="6" t="s">
        <v>498</v>
      </c>
      <c r="B127" s="6" t="s">
        <v>104</v>
      </c>
      <c r="C127" s="7" t="str">
        <f aca="false">INDEX(Epics!$B$2:$B$15,MATCH(B127,Epics!$A$2:$A$15,0))</f>
        <v>Exigences transverses &amp; qualité</v>
      </c>
      <c r="D127" s="7" t="s">
        <v>60</v>
      </c>
      <c r="E127" s="7" t="s">
        <v>499</v>
      </c>
      <c r="F127" s="7" t="s">
        <v>500</v>
      </c>
      <c r="G127" s="9" t="s">
        <v>66</v>
      </c>
      <c r="H127" s="9" t="n">
        <v>8</v>
      </c>
      <c r="I127" s="9" t="s">
        <v>67</v>
      </c>
      <c r="J127" s="6" t="s">
        <v>119</v>
      </c>
      <c r="K127" s="9" t="s">
        <v>120</v>
      </c>
    </row>
    <row r="128" customFormat="false" ht="23.85" hidden="false" customHeight="false" outlineLevel="0" collapsed="false">
      <c r="A128" s="6" t="s">
        <v>501</v>
      </c>
      <c r="B128" s="6" t="s">
        <v>104</v>
      </c>
      <c r="C128" s="7" t="str">
        <f aca="false">INDEX(Epics!$B$2:$B$15,MATCH(B128,Epics!$A$2:$A$15,0))</f>
        <v>Exigences transverses &amp; qualité</v>
      </c>
      <c r="D128" s="7" t="s">
        <v>107</v>
      </c>
      <c r="E128" s="7" t="s">
        <v>502</v>
      </c>
      <c r="F128" s="7" t="s">
        <v>503</v>
      </c>
      <c r="G128" s="9" t="s">
        <v>39</v>
      </c>
      <c r="H128" s="9" t="n">
        <v>5</v>
      </c>
      <c r="I128" s="9" t="s">
        <v>40</v>
      </c>
      <c r="J128" s="6" t="s">
        <v>119</v>
      </c>
      <c r="K128" s="9" t="s">
        <v>120</v>
      </c>
    </row>
    <row r="129" customFormat="false" ht="23.85" hidden="false" customHeight="false" outlineLevel="0" collapsed="false">
      <c r="A129" s="6" t="s">
        <v>504</v>
      </c>
      <c r="B129" s="6" t="s">
        <v>104</v>
      </c>
      <c r="C129" s="7" t="str">
        <f aca="false">INDEX(Epics!$B$2:$B$15,MATCH(B129,Epics!$A$2:$A$15,0))</f>
        <v>Exigences transverses &amp; qualité</v>
      </c>
      <c r="D129" s="7" t="s">
        <v>107</v>
      </c>
      <c r="E129" s="7" t="s">
        <v>505</v>
      </c>
      <c r="F129" s="7" t="s">
        <v>506</v>
      </c>
      <c r="G129" s="9" t="s">
        <v>39</v>
      </c>
      <c r="H129" s="9" t="n">
        <v>5</v>
      </c>
      <c r="I129" s="9" t="s">
        <v>40</v>
      </c>
      <c r="J129" s="6" t="s">
        <v>119</v>
      </c>
      <c r="K129" s="9" t="s">
        <v>120</v>
      </c>
    </row>
    <row r="130" customFormat="false" ht="23.85" hidden="false" customHeight="false" outlineLevel="0" collapsed="false">
      <c r="A130" s="6" t="s">
        <v>507</v>
      </c>
      <c r="B130" s="6" t="s">
        <v>104</v>
      </c>
      <c r="C130" s="7" t="str">
        <f aca="false">INDEX(Epics!$B$2:$B$15,MATCH(B130,Epics!$A$2:$A$15,0))</f>
        <v>Exigences transverses &amp; qualité</v>
      </c>
      <c r="D130" s="7" t="s">
        <v>107</v>
      </c>
      <c r="E130" s="7" t="s">
        <v>508</v>
      </c>
      <c r="F130" s="7" t="s">
        <v>509</v>
      </c>
      <c r="G130" s="9" t="s">
        <v>66</v>
      </c>
      <c r="H130" s="9" t="n">
        <v>5</v>
      </c>
      <c r="I130" s="9" t="s">
        <v>67</v>
      </c>
      <c r="J130" s="6" t="s">
        <v>119</v>
      </c>
      <c r="K130" s="9" t="s">
        <v>120</v>
      </c>
    </row>
    <row r="131" customFormat="false" ht="23.85" hidden="false" customHeight="false" outlineLevel="0" collapsed="false">
      <c r="A131" s="6" t="s">
        <v>510</v>
      </c>
      <c r="B131" s="6" t="s">
        <v>104</v>
      </c>
      <c r="C131" s="7" t="str">
        <f aca="false">INDEX(Epics!$B$2:$B$15,MATCH(B131,Epics!$A$2:$A$15,0))</f>
        <v>Exigences transverses &amp; qualité</v>
      </c>
      <c r="D131" s="7" t="s">
        <v>107</v>
      </c>
      <c r="E131" s="7" t="s">
        <v>511</v>
      </c>
      <c r="F131" s="7" t="s">
        <v>512</v>
      </c>
      <c r="G131" s="9" t="s">
        <v>66</v>
      </c>
      <c r="H131" s="9" t="n">
        <v>5</v>
      </c>
      <c r="I131" s="9" t="s">
        <v>40</v>
      </c>
      <c r="J131" s="6" t="s">
        <v>119</v>
      </c>
      <c r="K131" s="9" t="s">
        <v>120</v>
      </c>
    </row>
    <row r="132" customFormat="false" ht="23.85" hidden="false" customHeight="false" outlineLevel="0" collapsed="false">
      <c r="A132" s="6" t="s">
        <v>513</v>
      </c>
      <c r="B132" s="6" t="s">
        <v>104</v>
      </c>
      <c r="C132" s="7" t="str">
        <f aca="false">INDEX(Epics!$B$2:$B$15,MATCH(B132,Epics!$A$2:$A$15,0))</f>
        <v>Exigences transverses &amp; qualité</v>
      </c>
      <c r="D132" s="7" t="s">
        <v>107</v>
      </c>
      <c r="E132" s="7" t="s">
        <v>514</v>
      </c>
      <c r="F132" s="7" t="s">
        <v>515</v>
      </c>
      <c r="G132" s="9" t="s">
        <v>66</v>
      </c>
      <c r="H132" s="9" t="n">
        <v>3</v>
      </c>
      <c r="I132" s="9" t="s">
        <v>67</v>
      </c>
      <c r="J132" s="6" t="s">
        <v>119</v>
      </c>
      <c r="K132" s="9" t="s">
        <v>120</v>
      </c>
    </row>
    <row r="133" customFormat="false" ht="23.85" hidden="false" customHeight="false" outlineLevel="0" collapsed="false">
      <c r="A133" s="6" t="s">
        <v>516</v>
      </c>
      <c r="B133" s="6" t="s">
        <v>104</v>
      </c>
      <c r="C133" s="7" t="str">
        <f aca="false">INDEX(Epics!$B$2:$B$15,MATCH(B133,Epics!$A$2:$A$15,0))</f>
        <v>Exigences transverses &amp; qualité</v>
      </c>
      <c r="D133" s="7" t="s">
        <v>107</v>
      </c>
      <c r="E133" s="7" t="s">
        <v>517</v>
      </c>
      <c r="F133" s="7" t="s">
        <v>518</v>
      </c>
      <c r="G133" s="9" t="s">
        <v>39</v>
      </c>
      <c r="H133" s="9" t="n">
        <v>3</v>
      </c>
      <c r="I133" s="9" t="s">
        <v>40</v>
      </c>
      <c r="J133" s="6" t="s">
        <v>119</v>
      </c>
      <c r="K133" s="9" t="s">
        <v>120</v>
      </c>
    </row>
  </sheetData>
  <autoFilter ref="A1:K133"/>
  <conditionalFormatting sqref="G2:G133">
    <cfRule type="cellIs" priority="2" operator="equal" aboveAverage="0" equalAverage="0" bottom="0" percent="0" rank="0" text="" dxfId="7">
      <formula>"Must"</formula>
    </cfRule>
    <cfRule type="cellIs" priority="3" operator="equal" aboveAverage="0" equalAverage="0" bottom="0" percent="0" rank="0" text="" dxfId="8">
      <formula>"Should"</formula>
    </cfRule>
    <cfRule type="cellIs" priority="4" operator="equal" aboveAverage="0" equalAverage="0" bottom="0" percent="0" rank="0" text="" dxfId="9">
      <formula>"Could"</formula>
    </cfRule>
  </conditionalFormatting>
  <dataValidations count="4">
    <dataValidation allowBlank="false" errorStyle="stop" operator="between" showDropDown="false" showErrorMessage="false" showInputMessage="false" sqref="G2:G133" type="list">
      <formula1>"Must,Should,Could"</formula1>
      <formula2>0</formula2>
    </dataValidation>
    <dataValidation allowBlank="false" errorStyle="stop" operator="between" showDropDown="false" showErrorMessage="false" showInputMessage="false" sqref="H2:H133" type="list">
      <formula1>"1,2,3,5,8,13"</formula1>
      <formula2>0</formula2>
    </dataValidation>
    <dataValidation allowBlank="false" errorStyle="stop" operator="between" showDropDown="false" showErrorMessage="false" showInputMessage="false" sqref="I2:I133" type="list">
      <formula1>"MVP,V1,V2"</formula1>
      <formula2>0</formula2>
    </dataValidation>
    <dataValidation allowBlank="false" errorStyle="stop" operator="between" showDropDown="false" showErrorMessage="false" showInputMessage="false" sqref="K2:K133" type="list">
      <formula1>"À faire,En cours,En revue,Terminé"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519</v>
      </c>
    </row>
    <row r="3" customFormat="false" ht="15" hidden="false" customHeight="false" outlineLevel="0" collapsed="false">
      <c r="A3" s="10" t="s">
        <v>520</v>
      </c>
    </row>
    <row r="4" customFormat="false" ht="30" hidden="false" customHeight="true" outlineLevel="0" collapsed="false">
      <c r="A4" s="5" t="s">
        <v>111</v>
      </c>
      <c r="B4" s="5" t="s">
        <v>521</v>
      </c>
      <c r="C4" s="5" t="s">
        <v>16</v>
      </c>
      <c r="D4" s="5" t="s">
        <v>522</v>
      </c>
    </row>
    <row r="5" customFormat="false" ht="15" hidden="false" customHeight="false" outlineLevel="0" collapsed="false">
      <c r="A5" s="11" t="s">
        <v>102</v>
      </c>
      <c r="B5" s="12" t="n">
        <f aca="false">COUNTIF('User Stories'!$D$2:$D$133,A5)</f>
        <v>38</v>
      </c>
      <c r="C5" s="12" t="n">
        <f aca="false">SUMIF('User Stories'!$D$2:$D$133,A5,'User Stories'!$H$2:$H$133)</f>
        <v>144</v>
      </c>
      <c r="D5" s="13" t="n">
        <f aca="false">IF($B$11=0,0,B5/$B$11)</f>
        <v>0.287878787878788</v>
      </c>
    </row>
    <row r="6" customFormat="false" ht="15" hidden="false" customHeight="false" outlineLevel="0" collapsed="false">
      <c r="A6" s="11" t="s">
        <v>60</v>
      </c>
      <c r="B6" s="12" t="n">
        <f aca="false">COUNTIF('User Stories'!$D$2:$D$133,A6)</f>
        <v>20</v>
      </c>
      <c r="C6" s="12" t="n">
        <f aca="false">SUMIF('User Stories'!$D$2:$D$133,A6,'User Stories'!$H$2:$H$133)</f>
        <v>86</v>
      </c>
      <c r="D6" s="13" t="n">
        <f aca="false">IF($B$11=0,0,B6/$B$11)</f>
        <v>0.151515151515152</v>
      </c>
    </row>
    <row r="7" customFormat="false" ht="15" hidden="false" customHeight="false" outlineLevel="0" collapsed="false">
      <c r="A7" s="11" t="s">
        <v>81</v>
      </c>
      <c r="B7" s="12" t="n">
        <f aca="false">COUNTIF('User Stories'!$D$2:$D$133,A7)</f>
        <v>22</v>
      </c>
      <c r="C7" s="12" t="n">
        <f aca="false">SUMIF('User Stories'!$D$2:$D$133,A7,'User Stories'!$H$2:$H$133)</f>
        <v>113</v>
      </c>
      <c r="D7" s="13" t="n">
        <f aca="false">IF($B$11=0,0,B7/$B$11)</f>
        <v>0.166666666666667</v>
      </c>
    </row>
    <row r="8" customFormat="false" ht="15" hidden="false" customHeight="false" outlineLevel="0" collapsed="false">
      <c r="A8" s="11" t="s">
        <v>97</v>
      </c>
      <c r="B8" s="12" t="n">
        <f aca="false">COUNTIF('User Stories'!$D$2:$D$133,A8)</f>
        <v>23</v>
      </c>
      <c r="C8" s="12" t="n">
        <f aca="false">SUMIF('User Stories'!$D$2:$D$133,A8,'User Stories'!$H$2:$H$133)</f>
        <v>113</v>
      </c>
      <c r="D8" s="13" t="n">
        <f aca="false">IF($B$11=0,0,B8/$B$11)</f>
        <v>0.174242424242424</v>
      </c>
    </row>
    <row r="9" customFormat="false" ht="15" hidden="false" customHeight="false" outlineLevel="0" collapsed="false">
      <c r="A9" s="11" t="s">
        <v>116</v>
      </c>
      <c r="B9" s="12" t="n">
        <f aca="false">COUNTIF('User Stories'!$D$2:$D$133,A9)</f>
        <v>10</v>
      </c>
      <c r="C9" s="12" t="n">
        <f aca="false">SUMIF('User Stories'!$D$2:$D$133,A9,'User Stories'!$H$2:$H$133)</f>
        <v>36</v>
      </c>
      <c r="D9" s="13" t="n">
        <f aca="false">IF($B$11=0,0,B9/$B$11)</f>
        <v>0.0757575757575758</v>
      </c>
    </row>
    <row r="10" customFormat="false" ht="15" hidden="false" customHeight="false" outlineLevel="0" collapsed="false">
      <c r="A10" s="11" t="s">
        <v>107</v>
      </c>
      <c r="B10" s="12" t="n">
        <f aca="false">COUNTIF('User Stories'!$D$2:$D$133,A10)</f>
        <v>19</v>
      </c>
      <c r="C10" s="12" t="n">
        <f aca="false">SUMIF('User Stories'!$D$2:$D$133,A10,'User Stories'!$H$2:$H$133)</f>
        <v>116</v>
      </c>
      <c r="D10" s="13" t="n">
        <f aca="false">IF($B$11=0,0,B10/$B$11)</f>
        <v>0.143939393939394</v>
      </c>
    </row>
    <row r="11" customFormat="false" ht="15" hidden="false" customHeight="false" outlineLevel="0" collapsed="false">
      <c r="A11" s="14" t="s">
        <v>109</v>
      </c>
      <c r="B11" s="15" t="n">
        <f aca="false">SUM(B5:B10)</f>
        <v>132</v>
      </c>
      <c r="C11" s="15" t="n">
        <f aca="false">SUM(C5:C10)</f>
        <v>608</v>
      </c>
      <c r="D11" s="16" t="n">
        <f aca="false">IF($B$11=0,0,B11/$B$11)</f>
        <v>1</v>
      </c>
    </row>
    <row r="13" customFormat="false" ht="15" hidden="false" customHeight="false" outlineLevel="0" collapsed="false">
      <c r="A13" s="10" t="s">
        <v>523</v>
      </c>
    </row>
    <row r="14" customFormat="false" ht="30" hidden="false" customHeight="true" outlineLevel="0" collapsed="false">
      <c r="A14" s="5" t="s">
        <v>30</v>
      </c>
      <c r="B14" s="5" t="s">
        <v>521</v>
      </c>
      <c r="C14" s="5" t="s">
        <v>16</v>
      </c>
      <c r="D14" s="5" t="s">
        <v>522</v>
      </c>
    </row>
    <row r="15" customFormat="false" ht="15" hidden="false" customHeight="false" outlineLevel="0" collapsed="false">
      <c r="A15" s="11" t="s">
        <v>39</v>
      </c>
      <c r="B15" s="12" t="n">
        <f aca="false">COUNTIF('User Stories'!$G$2:$G$133,A15)</f>
        <v>50</v>
      </c>
      <c r="C15" s="12" t="n">
        <f aca="false">SUMIF('User Stories'!$G$2:$G$133,A15,'User Stories'!$H$2:$H$133)</f>
        <v>216</v>
      </c>
      <c r="D15" s="13" t="n">
        <f aca="false">IF($B$18=0,0,B15/$B$18)</f>
        <v>0.378787878787879</v>
      </c>
    </row>
    <row r="16" customFormat="false" ht="15" hidden="false" customHeight="false" outlineLevel="0" collapsed="false">
      <c r="A16" s="11" t="s">
        <v>66</v>
      </c>
      <c r="B16" s="12" t="n">
        <f aca="false">COUNTIF('User Stories'!$G$2:$G$133,A16)</f>
        <v>52</v>
      </c>
      <c r="C16" s="12" t="n">
        <f aca="false">SUMIF('User Stories'!$G$2:$G$133,A16,'User Stories'!$H$2:$H$133)</f>
        <v>239</v>
      </c>
      <c r="D16" s="13" t="n">
        <f aca="false">IF($B$18=0,0,B16/$B$18)</f>
        <v>0.393939393939394</v>
      </c>
    </row>
    <row r="17" customFormat="false" ht="15" hidden="false" customHeight="false" outlineLevel="0" collapsed="false">
      <c r="A17" s="11" t="s">
        <v>145</v>
      </c>
      <c r="B17" s="12" t="n">
        <f aca="false">COUNTIF('User Stories'!$G$2:$G$133,A17)</f>
        <v>30</v>
      </c>
      <c r="C17" s="12" t="n">
        <f aca="false">SUMIF('User Stories'!$G$2:$G$133,A17,'User Stories'!$H$2:$H$133)</f>
        <v>153</v>
      </c>
      <c r="D17" s="13" t="n">
        <f aca="false">IF($B$18=0,0,B17/$B$18)</f>
        <v>0.227272727272727</v>
      </c>
    </row>
    <row r="18" customFormat="false" ht="15" hidden="false" customHeight="false" outlineLevel="0" collapsed="false">
      <c r="A18" s="14" t="s">
        <v>109</v>
      </c>
      <c r="B18" s="15" t="n">
        <f aca="false">SUM(B15:B17)</f>
        <v>132</v>
      </c>
      <c r="C18" s="15" t="n">
        <f aca="false">SUM(C15:C17)</f>
        <v>608</v>
      </c>
      <c r="D18" s="16" t="n">
        <f aca="false">IF($B$18=0,0,B18/$B$18)</f>
        <v>1</v>
      </c>
    </row>
    <row r="20" customFormat="false" ht="15" hidden="false" customHeight="false" outlineLevel="0" collapsed="false">
      <c r="A20" s="10" t="s">
        <v>524</v>
      </c>
    </row>
    <row r="21" customFormat="false" ht="30" hidden="false" customHeight="true" outlineLevel="0" collapsed="false">
      <c r="A21" s="5" t="s">
        <v>18</v>
      </c>
      <c r="B21" s="5" t="s">
        <v>521</v>
      </c>
      <c r="C21" s="5" t="s">
        <v>16</v>
      </c>
      <c r="D21" s="5" t="s">
        <v>522</v>
      </c>
    </row>
    <row r="22" customFormat="false" ht="15" hidden="false" customHeight="false" outlineLevel="0" collapsed="false">
      <c r="A22" s="11" t="s">
        <v>40</v>
      </c>
      <c r="B22" s="12" t="n">
        <f aca="false">COUNTIF('User Stories'!$I$2:$I$133,A22)</f>
        <v>49</v>
      </c>
      <c r="C22" s="12" t="n">
        <f aca="false">SUMIF('User Stories'!$I$2:$I$133,A22,'User Stories'!$H$2:$H$133)</f>
        <v>194</v>
      </c>
      <c r="D22" s="13" t="n">
        <f aca="false">IF($B$25=0,0,B22/$B$25)</f>
        <v>0.371212121212121</v>
      </c>
    </row>
    <row r="23" customFormat="false" ht="15" hidden="false" customHeight="false" outlineLevel="0" collapsed="false">
      <c r="A23" s="11" t="s">
        <v>67</v>
      </c>
      <c r="B23" s="12" t="n">
        <f aca="false">COUNTIF('User Stories'!$I$2:$I$133,A23)</f>
        <v>42</v>
      </c>
      <c r="C23" s="12" t="n">
        <f aca="false">SUMIF('User Stories'!$I$2:$I$133,A23,'User Stories'!$H$2:$H$133)</f>
        <v>194</v>
      </c>
      <c r="D23" s="13" t="n">
        <f aca="false">IF($B$25=0,0,B23/$B$25)</f>
        <v>0.318181818181818</v>
      </c>
    </row>
    <row r="24" customFormat="false" ht="15" hidden="false" customHeight="false" outlineLevel="0" collapsed="false">
      <c r="A24" s="11" t="s">
        <v>87</v>
      </c>
      <c r="B24" s="12" t="n">
        <f aca="false">COUNTIF('User Stories'!$I$2:$I$133,A24)</f>
        <v>41</v>
      </c>
      <c r="C24" s="12" t="n">
        <f aca="false">SUMIF('User Stories'!$I$2:$I$133,A24,'User Stories'!$H$2:$H$133)</f>
        <v>220</v>
      </c>
      <c r="D24" s="13" t="n">
        <f aca="false">IF($B$25=0,0,B24/$B$25)</f>
        <v>0.310606060606061</v>
      </c>
    </row>
    <row r="25" customFormat="false" ht="15" hidden="false" customHeight="false" outlineLevel="0" collapsed="false">
      <c r="A25" s="14" t="s">
        <v>109</v>
      </c>
      <c r="B25" s="15" t="n">
        <f aca="false">SUM(B22:B24)</f>
        <v>132</v>
      </c>
      <c r="C25" s="15" t="n">
        <f aca="false">SUM(C22:C24)</f>
        <v>608</v>
      </c>
      <c r="D25" s="16" t="n">
        <f aca="false">IF($B$25=0,0,B25/$B$25)</f>
        <v>1</v>
      </c>
    </row>
    <row r="27" customFormat="false" ht="15" hidden="false" customHeight="false" outlineLevel="0" collapsed="false">
      <c r="A27" s="10" t="s">
        <v>525</v>
      </c>
    </row>
    <row r="28" customFormat="false" ht="30" hidden="false" customHeight="true" outlineLevel="0" collapsed="false">
      <c r="A28" s="5" t="s">
        <v>114</v>
      </c>
      <c r="B28" s="5" t="s">
        <v>521</v>
      </c>
      <c r="C28" s="5" t="s">
        <v>16</v>
      </c>
      <c r="D28" s="5" t="s">
        <v>522</v>
      </c>
    </row>
    <row r="29" customFormat="false" ht="15" hidden="false" customHeight="false" outlineLevel="0" collapsed="false">
      <c r="A29" s="11" t="s">
        <v>152</v>
      </c>
      <c r="B29" s="12" t="n">
        <f aca="false">COUNTIF('User Stories'!$J$2:$J$133,A29)</f>
        <v>12</v>
      </c>
      <c r="C29" s="12" t="n">
        <f aca="false">SUMIF('User Stories'!$J$2:$J$133,A29,'User Stories'!$H$2:$H$133)</f>
        <v>48</v>
      </c>
      <c r="D29" s="13" t="n">
        <f aca="false">IF($B$34=0,0,B29/$B$34)</f>
        <v>0.0909090909090909</v>
      </c>
    </row>
    <row r="30" customFormat="false" ht="15" hidden="false" customHeight="false" outlineLevel="0" collapsed="false">
      <c r="A30" s="11" t="s">
        <v>189</v>
      </c>
      <c r="B30" s="12" t="n">
        <f aca="false">COUNTIF('User Stories'!$J$2:$J$133,A30)</f>
        <v>8</v>
      </c>
      <c r="C30" s="12" t="n">
        <f aca="false">SUMIF('User Stories'!$J$2:$J$133,A30,'User Stories'!$H$2:$H$133)</f>
        <v>32</v>
      </c>
      <c r="D30" s="13" t="n">
        <f aca="false">IF($B$34=0,0,B30/$B$34)</f>
        <v>0.0606060606060606</v>
      </c>
    </row>
    <row r="31" customFormat="false" ht="15" hidden="false" customHeight="false" outlineLevel="0" collapsed="false">
      <c r="A31" s="11" t="s">
        <v>386</v>
      </c>
      <c r="B31" s="12" t="n">
        <f aca="false">COUNTIF('User Stories'!$J$2:$J$133,A31)</f>
        <v>7</v>
      </c>
      <c r="C31" s="12" t="n">
        <f aca="false">SUMIF('User Stories'!$J$2:$J$133,A31,'User Stories'!$H$2:$H$133)</f>
        <v>50</v>
      </c>
      <c r="D31" s="13" t="n">
        <f aca="false">IF($B$34=0,0,B31/$B$34)</f>
        <v>0.053030303030303</v>
      </c>
    </row>
    <row r="32" customFormat="false" ht="15" hidden="false" customHeight="false" outlineLevel="0" collapsed="false">
      <c r="A32" s="11" t="s">
        <v>223</v>
      </c>
      <c r="B32" s="12" t="n">
        <f aca="false">COUNTIF('User Stories'!$J$2:$J$133,A32)</f>
        <v>8</v>
      </c>
      <c r="C32" s="12" t="n">
        <f aca="false">SUMIF('User Stories'!$J$2:$J$133,A32,'User Stories'!$H$2:$H$133)</f>
        <v>56</v>
      </c>
      <c r="D32" s="13" t="n">
        <f aca="false">IF($B$34=0,0,B32/$B$34)</f>
        <v>0.0606060606060606</v>
      </c>
    </row>
    <row r="33" customFormat="false" ht="15" hidden="false" customHeight="false" outlineLevel="0" collapsed="false">
      <c r="A33" s="11" t="s">
        <v>119</v>
      </c>
      <c r="B33" s="12" t="n">
        <f aca="false">COUNTIF('User Stories'!$J$2:$J$133,A33)</f>
        <v>97</v>
      </c>
      <c r="C33" s="12" t="n">
        <f aca="false">SUMIF('User Stories'!$J$2:$J$133,A33,'User Stories'!$H$2:$H$133)</f>
        <v>422</v>
      </c>
      <c r="D33" s="13" t="n">
        <f aca="false">IF($B$34=0,0,B33/$B$34)</f>
        <v>0.734848484848485</v>
      </c>
    </row>
    <row r="34" customFormat="false" ht="15" hidden="false" customHeight="false" outlineLevel="0" collapsed="false">
      <c r="A34" s="14" t="s">
        <v>109</v>
      </c>
      <c r="B34" s="15" t="n">
        <f aca="false">SUM(B29:B33)</f>
        <v>132</v>
      </c>
      <c r="C34" s="15" t="n">
        <f aca="false">SUM(C29:C33)</f>
        <v>608</v>
      </c>
      <c r="D34" s="16" t="n">
        <f aca="false">IF($B$34=0,0,B34/$B$34)</f>
        <v>1</v>
      </c>
    </row>
    <row r="36" customFormat="false" ht="15" hidden="false" customHeight="false" outlineLevel="0" collapsed="false">
      <c r="A36" s="10" t="s">
        <v>526</v>
      </c>
    </row>
    <row r="37" customFormat="false" ht="30" hidden="false" customHeight="true" outlineLevel="0" collapsed="false">
      <c r="A37" s="5" t="s">
        <v>20</v>
      </c>
      <c r="B37" s="5" t="s">
        <v>521</v>
      </c>
      <c r="C37" s="5" t="s">
        <v>16</v>
      </c>
      <c r="D37" s="5" t="s">
        <v>522</v>
      </c>
    </row>
    <row r="38" customFormat="false" ht="15" hidden="false" customHeight="false" outlineLevel="0" collapsed="false">
      <c r="A38" s="11" t="s">
        <v>120</v>
      </c>
      <c r="B38" s="12" t="n">
        <f aca="false">COUNTIF('User Stories'!$K$2:$K$133,A38)</f>
        <v>132</v>
      </c>
      <c r="C38" s="12" t="n">
        <f aca="false">SUMIF('User Stories'!$K$2:$K$133,A38,'User Stories'!$H$2:$H$133)</f>
        <v>608</v>
      </c>
      <c r="D38" s="13" t="n">
        <f aca="false">IF($B$42=0,0,B38/$B$42)</f>
        <v>1</v>
      </c>
    </row>
    <row r="39" customFormat="false" ht="15" hidden="false" customHeight="false" outlineLevel="0" collapsed="false">
      <c r="A39" s="11" t="s">
        <v>527</v>
      </c>
      <c r="B39" s="12" t="n">
        <f aca="false">COUNTIF('User Stories'!$K$2:$K$133,A39)</f>
        <v>0</v>
      </c>
      <c r="C39" s="12" t="n">
        <f aca="false">SUMIF('User Stories'!$K$2:$K$133,A39,'User Stories'!$H$2:$H$133)</f>
        <v>0</v>
      </c>
      <c r="D39" s="13" t="n">
        <f aca="false">IF($B$42=0,0,B39/$B$42)</f>
        <v>0</v>
      </c>
    </row>
    <row r="40" customFormat="false" ht="15" hidden="false" customHeight="false" outlineLevel="0" collapsed="false">
      <c r="A40" s="11" t="s">
        <v>528</v>
      </c>
      <c r="B40" s="12" t="n">
        <f aca="false">COUNTIF('User Stories'!$K$2:$K$133,A40)</f>
        <v>0</v>
      </c>
      <c r="C40" s="12" t="n">
        <f aca="false">SUMIF('User Stories'!$K$2:$K$133,A40,'User Stories'!$H$2:$H$133)</f>
        <v>0</v>
      </c>
      <c r="D40" s="13" t="n">
        <f aca="false">IF($B$42=0,0,B40/$B$42)</f>
        <v>0</v>
      </c>
    </row>
    <row r="41" customFormat="false" ht="15" hidden="false" customHeight="false" outlineLevel="0" collapsed="false">
      <c r="A41" s="11" t="s">
        <v>529</v>
      </c>
      <c r="B41" s="12" t="n">
        <f aca="false">COUNTIF('User Stories'!$K$2:$K$133,A41)</f>
        <v>0</v>
      </c>
      <c r="C41" s="12" t="n">
        <f aca="false">SUMIF('User Stories'!$K$2:$K$133,A41,'User Stories'!$H$2:$H$133)</f>
        <v>0</v>
      </c>
      <c r="D41" s="13" t="n">
        <f aca="false">IF($B$42=0,0,B41/$B$42)</f>
        <v>0</v>
      </c>
    </row>
    <row r="42" customFormat="false" ht="15" hidden="false" customHeight="false" outlineLevel="0" collapsed="false">
      <c r="A42" s="14" t="s">
        <v>109</v>
      </c>
      <c r="B42" s="15" t="n">
        <f aca="false">SUM(B38:B41)</f>
        <v>132</v>
      </c>
      <c r="C42" s="15" t="n">
        <f aca="false">SUM(C38:C41)</f>
        <v>608</v>
      </c>
      <c r="D42" s="16" t="n">
        <f aca="false">IF($B$42=0,0,B42/$B$42)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2026-09-29T09:45:10Z</dcterms:created>
  <dc:creator>openpyxl</dc:creator>
  <dc:description/>
  <dc:language>en-US</dc:language>
  <cp:lastModifiedBy/>
  <dcterms:modified xsi:type="dcterms:W3CDTF">2026-09-29T09:45:10Z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